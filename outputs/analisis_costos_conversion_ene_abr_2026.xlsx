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sheets/sheet3.xml" ContentType="application/vnd.openxmlformats-officedocument.spreadsheetml.worksheet+xml"/>
  <Override PartName="/xl/drawings/drawing2.xml" ContentType="application/vnd.openxmlformats-officedocument.drawing+xml"/>
  <Override PartName="/xl/worksheets/sheet4.xml" ContentType="application/vnd.openxmlformats-officedocument.spreadsheetml.worksheet+xml"/>
  <Override PartName="/xl/drawings/drawing3.xml" ContentType="application/vnd.openxmlformats-officedocument.drawing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men" sheetId="1" state="visible" r:id="rId1"/>
    <sheet name="Google Ads" sheetId="2" state="visible" r:id="rId2"/>
    <sheet name="Meta Ads" sheetId="3" state="visible" r:id="rId3"/>
    <sheet name="Combinado" sheetId="4" state="visible" r:id="rId4"/>
    <sheet name="CPL Negocio" sheetId="5" state="visible" r:id="rId5"/>
    <sheet name="Match Campañas" sheetId="6" state="visible" r:id="rId6"/>
    <sheet name="CAC Real" sheetId="7" state="visible" r:id="rId7"/>
    <sheet name="Diagnóstico CEO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5">
    <numFmt numFmtId="164" formatCode="&quot;$&quot;#,##0"/>
    <numFmt numFmtId="165" formatCode="&quot;$&quot;#,##0.00"/>
    <numFmt numFmtId="166" formatCode="0.0%;-0.0%"/>
    <numFmt numFmtId="167" formatCode="0.0&quot;x&quot;"/>
    <numFmt numFmtId="168" formatCode="0.0%;-0.0%;0.0%"/>
  </numFmts>
  <fonts count="27">
    <font>
      <name val="Calibri"/>
      <family val="2"/>
      <color theme="1"/>
      <sz val="11"/>
      <scheme val="minor"/>
    </font>
    <font>
      <name val="Calibri"/>
      <b val="1"/>
      <color rgb="000033A0"/>
      <sz val="16"/>
    </font>
    <font>
      <i val="1"/>
      <color rgb="0053565A"/>
      <sz val="11"/>
    </font>
    <font>
      <name val="Calibri"/>
      <b val="1"/>
      <color rgb="00FFFFFF"/>
      <sz val="11"/>
    </font>
    <font>
      <name val="Calibri"/>
      <b val="1"/>
      <color rgb="00FFFFFF"/>
      <sz val="10"/>
    </font>
    <font>
      <b val="1"/>
      <color rgb="000033A0"/>
      <sz val="10"/>
    </font>
    <font>
      <name val="Calibri"/>
      <color rgb="0053565A"/>
      <sz val="10"/>
    </font>
    <font>
      <name val="Calibri"/>
      <b val="1"/>
      <color rgb="0053565A"/>
    </font>
    <font>
      <color rgb="0053565A"/>
      <sz val="10"/>
    </font>
    <font>
      <b val="1"/>
      <color rgb="000033A0"/>
      <sz val="14"/>
    </font>
    <font>
      <b val="1"/>
      <color rgb="000033A0"/>
    </font>
    <font>
      <b val="1"/>
      <color rgb="00DC2626"/>
    </font>
    <font>
      <b val="1"/>
      <color rgb="00059669"/>
    </font>
    <font>
      <i val="1"/>
      <color rgb="0053565A"/>
    </font>
    <font>
      <i val="1"/>
      <color rgb="0053565A"/>
      <sz val="10"/>
    </font>
    <font>
      <color rgb="0053565A"/>
      <sz val="9"/>
    </font>
    <font>
      <b val="1"/>
      <i val="1"/>
      <color rgb="00DC2626"/>
    </font>
    <font>
      <b val="1"/>
      <color rgb="00DC2626"/>
      <sz val="11"/>
    </font>
    <font>
      <b val="1"/>
      <color rgb="00059669"/>
      <sz val="11"/>
    </font>
    <font>
      <i val="1"/>
      <color rgb="0053565A"/>
      <sz val="9"/>
    </font>
    <font>
      <b val="1"/>
      <color rgb="00F59E0B"/>
      <sz val="10"/>
    </font>
    <font>
      <b val="1"/>
      <color rgb="00DC2626"/>
      <sz val="10"/>
    </font>
    <font>
      <b val="1"/>
      <color rgb="00059669"/>
      <sz val="10"/>
    </font>
    <font>
      <b val="1"/>
      <color rgb="00EA580C"/>
      <sz val="10"/>
    </font>
    <font>
      <b val="1"/>
      <color rgb="000033A0"/>
      <sz val="12"/>
    </font>
    <font>
      <b val="1"/>
      <color rgb="00EA580C"/>
      <sz val="11"/>
    </font>
    <font>
      <b val="1"/>
      <color rgb="00F59E0B"/>
      <sz val="11"/>
    </font>
  </fonts>
  <fills count="6">
    <fill>
      <patternFill/>
    </fill>
    <fill>
      <patternFill patternType="gray125"/>
    </fill>
    <fill>
      <patternFill patternType="solid">
        <fgColor rgb="000033A0"/>
      </patternFill>
    </fill>
    <fill>
      <patternFill patternType="solid">
        <fgColor rgb="0000AEC7"/>
      </patternFill>
    </fill>
    <fill>
      <patternFill patternType="solid">
        <fgColor rgb="00F0F0F0"/>
      </patternFill>
    </fill>
    <fill>
      <patternFill patternType="solid">
        <fgColor rgb="00FEE2E2"/>
      </patternFill>
    </fill>
  </fills>
  <borders count="6">
    <border>
      <left/>
      <right/>
      <top/>
      <bottom/>
      <diagonal/>
    </border>
    <border>
      <left style="thin">
        <color rgb="00D1D5DB"/>
      </left>
      <right style="thin">
        <color rgb="00D1D5DB"/>
      </right>
      <top style="thin">
        <color rgb="00D1D5DB"/>
      </top>
      <bottom style="thin">
        <color rgb="00D1D5DB"/>
      </bottom>
    </border>
    <border>
      <left/>
      <right/>
      <top style="thin">
        <color rgb="00D1D5DB"/>
      </top>
      <bottom/>
      <diagonal/>
    </border>
    <border>
      <left/>
      <right style="thin">
        <color rgb="00D1D5DB"/>
      </right>
      <top style="thin">
        <color rgb="00D1D5DB"/>
      </top>
      <bottom/>
      <diagonal/>
    </border>
    <border>
      <left/>
      <right/>
      <top style="thin">
        <color rgb="00D1D5DB"/>
      </top>
      <bottom style="thin">
        <color rgb="00D1D5DB"/>
      </bottom>
      <diagonal/>
    </border>
    <border>
      <left/>
      <right style="thin">
        <color rgb="00D1D5DB"/>
      </right>
      <top style="thin">
        <color rgb="00D1D5DB"/>
      </top>
      <bottom style="thin">
        <color rgb="00D1D5DB"/>
      </bottom>
      <diagonal/>
    </border>
  </borders>
  <cellStyleXfs count="1">
    <xf numFmtId="0" fontId="0" fillId="0" borderId="0"/>
  </cellStyleXfs>
  <cellXfs count="61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4" fillId="3" borderId="1" applyAlignment="1" pivotButton="0" quotePrefix="0" xfId="0">
      <alignment horizontal="center" vertical="center"/>
    </xf>
    <xf numFmtId="0" fontId="0" fillId="0" borderId="4" pivotButton="0" quotePrefix="0" xfId="0"/>
    <xf numFmtId="0" fontId="0" fillId="0" borderId="5" pivotButton="0" quotePrefix="0" xfId="0"/>
    <xf numFmtId="0" fontId="5" fillId="0" borderId="1" applyAlignment="1" pivotButton="0" quotePrefix="0" xfId="0">
      <alignment horizontal="left" vertical="center"/>
    </xf>
    <xf numFmtId="164" fontId="6" fillId="0" borderId="1" applyAlignment="1" pivotButton="0" quotePrefix="0" xfId="0">
      <alignment horizontal="right"/>
    </xf>
    <xf numFmtId="3" fontId="6" fillId="0" borderId="1" applyAlignment="1" pivotButton="0" quotePrefix="0" xfId="0">
      <alignment horizontal="right"/>
    </xf>
    <xf numFmtId="165" fontId="6" fillId="0" borderId="1" applyAlignment="1" pivotButton="0" quotePrefix="0" xfId="0">
      <alignment horizontal="right"/>
    </xf>
    <xf numFmtId="164" fontId="7" fillId="4" borderId="1" pivotButton="0" quotePrefix="0" xfId="0"/>
    <xf numFmtId="3" fontId="7" fillId="4" borderId="1" pivotButton="0" quotePrefix="0" xfId="0"/>
    <xf numFmtId="0" fontId="8" fillId="0" borderId="0" applyAlignment="1" pivotButton="0" quotePrefix="0" xfId="0">
      <alignment vertical="top" wrapText="1"/>
    </xf>
    <xf numFmtId="0" fontId="9" fillId="0" borderId="0" pivotButton="0" quotePrefix="0" xfId="0"/>
    <xf numFmtId="0" fontId="10" fillId="0" borderId="1" pivotButton="0" quotePrefix="0" xfId="0"/>
    <xf numFmtId="165" fontId="7" fillId="4" borderId="1" pivotButton="0" quotePrefix="0" xfId="0"/>
    <xf numFmtId="166" fontId="11" fillId="0" borderId="1" applyAlignment="1" pivotButton="0" quotePrefix="0" xfId="0">
      <alignment horizontal="right"/>
    </xf>
    <xf numFmtId="166" fontId="6" fillId="0" borderId="1" applyAlignment="1" pivotButton="0" quotePrefix="0" xfId="0">
      <alignment horizontal="right"/>
    </xf>
    <xf numFmtId="166" fontId="12" fillId="0" borderId="1" applyAlignment="1" pivotButton="0" quotePrefix="0" xfId="0">
      <alignment horizontal="right"/>
    </xf>
    <xf numFmtId="0" fontId="13" fillId="0" borderId="1" pivotButton="0" quotePrefix="0" xfId="0"/>
    <xf numFmtId="9" fontId="6" fillId="0" borderId="1" applyAlignment="1" pivotButton="0" quotePrefix="0" xfId="0">
      <alignment horizontal="right"/>
    </xf>
    <xf numFmtId="0" fontId="14" fillId="0" borderId="0" applyAlignment="1" pivotButton="0" quotePrefix="0" xfId="0">
      <alignment vertical="top" wrapText="1"/>
    </xf>
    <xf numFmtId="0" fontId="0" fillId="0" borderId="1" applyAlignment="1" pivotButton="0" quotePrefix="0" xfId="0">
      <alignment horizontal="center"/>
    </xf>
    <xf numFmtId="165" fontId="12" fillId="0" borderId="1" applyAlignment="1" pivotButton="0" quotePrefix="0" xfId="0">
      <alignment horizontal="right"/>
    </xf>
    <xf numFmtId="165" fontId="11" fillId="0" borderId="1" applyAlignment="1" pivotButton="0" quotePrefix="0" xfId="0">
      <alignment horizontal="right"/>
    </xf>
    <xf numFmtId="0" fontId="5" fillId="0" borderId="1" pivotButton="0" quotePrefix="0" xfId="0"/>
    <xf numFmtId="0" fontId="14" fillId="0" borderId="1" pivotButton="0" quotePrefix="0" xfId="0"/>
    <xf numFmtId="0" fontId="15" fillId="0" borderId="1" applyAlignment="1" pivotButton="0" quotePrefix="0" xfId="0">
      <alignment horizontal="left"/>
    </xf>
    <xf numFmtId="0" fontId="15" fillId="0" borderId="1" applyAlignment="1" pivotButton="0" quotePrefix="0" xfId="0">
      <alignment horizontal="center"/>
    </xf>
    <xf numFmtId="0" fontId="5" fillId="5" borderId="1" pivotButton="0" quotePrefix="0" xfId="0"/>
    <xf numFmtId="0" fontId="14" fillId="5" borderId="1" pivotButton="0" quotePrefix="0" xfId="0"/>
    <xf numFmtId="0" fontId="15" fillId="5" borderId="1" applyAlignment="1" pivotButton="0" quotePrefix="0" xfId="0">
      <alignment horizontal="left"/>
    </xf>
    <xf numFmtId="0" fontId="15" fillId="5" borderId="1" applyAlignment="1" pivotButton="0" quotePrefix="0" xfId="0">
      <alignment horizontal="center"/>
    </xf>
    <xf numFmtId="164" fontId="6" fillId="5" borderId="1" applyAlignment="1" pivotButton="0" quotePrefix="0" xfId="0">
      <alignment horizontal="right"/>
    </xf>
    <xf numFmtId="3" fontId="6" fillId="5" borderId="1" applyAlignment="1" pivotButton="0" quotePrefix="0" xfId="0">
      <alignment horizontal="right"/>
    </xf>
    <xf numFmtId="165" fontId="6" fillId="5" borderId="1" applyAlignment="1" pivotButton="0" quotePrefix="0" xfId="0">
      <alignment horizontal="right"/>
    </xf>
    <xf numFmtId="3" fontId="11" fillId="5" borderId="1" applyAlignment="1" pivotButton="0" quotePrefix="0" xfId="0">
      <alignment horizontal="right"/>
    </xf>
    <xf numFmtId="0" fontId="16" fillId="0" borderId="0" pivotButton="0" quotePrefix="0" xfId="0"/>
    <xf numFmtId="167" fontId="11" fillId="0" borderId="1" applyAlignment="1" pivotButton="0" quotePrefix="0" xfId="0">
      <alignment horizontal="right"/>
    </xf>
    <xf numFmtId="167" fontId="6" fillId="0" borderId="1" applyAlignment="1" pivotButton="0" quotePrefix="0" xfId="0">
      <alignment horizontal="right"/>
    </xf>
    <xf numFmtId="167" fontId="12" fillId="0" borderId="1" applyAlignment="1" pivotButton="0" quotePrefix="0" xfId="0">
      <alignment horizontal="right"/>
    </xf>
    <xf numFmtId="167" fontId="17" fillId="4" borderId="1" pivotButton="0" quotePrefix="0" xfId="0"/>
    <xf numFmtId="167" fontId="7" fillId="4" borderId="1" pivotButton="0" quotePrefix="0" xfId="0"/>
    <xf numFmtId="167" fontId="18" fillId="4" borderId="1" pivotButton="0" quotePrefix="0" xfId="0"/>
    <xf numFmtId="0" fontId="19" fillId="0" borderId="0" pivotButton="0" quotePrefix="0" xfId="0"/>
    <xf numFmtId="0" fontId="20" fillId="0" borderId="1" applyAlignment="1" pivotButton="0" quotePrefix="0" xfId="0">
      <alignment horizontal="center"/>
    </xf>
    <xf numFmtId="168" fontId="21" fillId="0" borderId="1" applyAlignment="1" pivotButton="0" quotePrefix="0" xfId="0">
      <alignment horizontal="right"/>
    </xf>
    <xf numFmtId="168" fontId="6" fillId="0" borderId="1" applyAlignment="1" pivotButton="0" quotePrefix="0" xfId="0">
      <alignment horizontal="right"/>
    </xf>
    <xf numFmtId="168" fontId="22" fillId="0" borderId="1" applyAlignment="1" pivotButton="0" quotePrefix="0" xfId="0">
      <alignment horizontal="right"/>
    </xf>
    <xf numFmtId="0" fontId="15" fillId="0" borderId="1" applyAlignment="1" pivotButton="0" quotePrefix="0" xfId="0">
      <alignment vertical="top" wrapText="1"/>
    </xf>
    <xf numFmtId="0" fontId="23" fillId="0" borderId="1" applyAlignment="1" pivotButton="0" quotePrefix="0" xfId="0">
      <alignment horizontal="center"/>
    </xf>
    <xf numFmtId="0" fontId="19" fillId="0" borderId="1" pivotButton="0" quotePrefix="0" xfId="0"/>
    <xf numFmtId="0" fontId="21" fillId="0" borderId="1" applyAlignment="1" pivotButton="0" quotePrefix="0" xfId="0">
      <alignment horizontal="center"/>
    </xf>
    <xf numFmtId="0" fontId="22" fillId="0" borderId="1" applyAlignment="1" pivotButton="0" quotePrefix="0" xfId="0">
      <alignment horizontal="center"/>
    </xf>
    <xf numFmtId="0" fontId="24" fillId="0" borderId="0" pivotButton="0" quotePrefix="0" xfId="0"/>
    <xf numFmtId="0" fontId="17" fillId="0" borderId="0" pivotButton="0" quotePrefix="0" xfId="0"/>
    <xf numFmtId="0" fontId="8" fillId="0" borderId="0" pivotButton="0" quotePrefix="0" xfId="0"/>
    <xf numFmtId="0" fontId="5" fillId="0" borderId="0" pivotButton="0" quotePrefix="0" xfId="0"/>
    <xf numFmtId="0" fontId="25" fillId="0" borderId="0" pivotButton="0" quotePrefix="0" xfId="0"/>
    <xf numFmtId="0" fontId="26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charts/chart1.xml><?xml version="1.0" encoding="utf-8"?>
<chartSpace xmlns:a="http://schemas.openxmlformats.org/drawingml/2006/main" xmlns="http://schemas.openxmlformats.org/drawingml/2006/chart">
  <style val="12"/>
  <chart>
    <title>
      <tx>
        <rich>
          <a:bodyPr/>
          <a:p>
            <a:pPr>
              <a:defRPr/>
            </a:pPr>
            <a:r>
              <a:t>Google Ads: CPA mensual por producto (US$)</a:t>
            </a:r>
          </a:p>
        </rich>
      </tx>
    </title>
    <plotArea>
      <lineChart>
        <grouping val="standard"/>
        <ser>
          <idx val="0"/>
          <order val="0"/>
          <tx>
            <strRef>
              <f>'Google Ads'!A19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'Google Ads'!$B$18:$E$18</f>
            </numRef>
          </cat>
          <val>
            <numRef>
              <f>'Google Ads'!$B$19:$E$19</f>
            </numRef>
          </val>
        </ser>
        <ser>
          <idx val="1"/>
          <order val="1"/>
          <tx>
            <strRef>
              <f>'Google Ads'!A20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'Google Ads'!$B$18:$E$18</f>
            </numRef>
          </cat>
          <val>
            <numRef>
              <f>'Google Ads'!$B$20:$E$20</f>
            </numRef>
          </val>
        </ser>
        <ser>
          <idx val="2"/>
          <order val="2"/>
          <tx>
            <strRef>
              <f>'Google Ads'!A21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'Google Ads'!$B$18:$E$18</f>
            </numRef>
          </cat>
          <val>
            <numRef>
              <f>'Google Ads'!$B$21:$E$21</f>
            </numRef>
          </val>
        </ser>
        <ser>
          <idx val="3"/>
          <order val="3"/>
          <tx>
            <strRef>
              <f>'Google Ads'!A22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'Google Ads'!$B$18:$E$18</f>
            </numRef>
          </cat>
          <val>
            <numRef>
              <f>'Google Ads'!$B$22:$E$22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Mes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CPA (US$)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11"/>
  <chart>
    <title>
      <tx>
        <rich>
          <a:bodyPr/>
          <a:p>
            <a:pPr>
              <a:defRPr/>
            </a:pPr>
            <a:r>
              <a:t>Google Ads: Conversiones mensuales por producto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'Google Ads'!A12</f>
            </strRef>
          </tx>
          <spPr>
            <a:ln>
              <a:prstDash val="solid"/>
            </a:ln>
          </spPr>
          <cat>
            <numRef>
              <f>'Google Ads'!$B$11:$E$11</f>
            </numRef>
          </cat>
          <val>
            <numRef>
              <f>'Google Ads'!$B$12:$E$12</f>
            </numRef>
          </val>
        </ser>
        <ser>
          <idx val="1"/>
          <order val="1"/>
          <tx>
            <strRef>
              <f>'Google Ads'!A13</f>
            </strRef>
          </tx>
          <spPr>
            <a:ln>
              <a:prstDash val="solid"/>
            </a:ln>
          </spPr>
          <cat>
            <numRef>
              <f>'Google Ads'!$B$11:$E$11</f>
            </numRef>
          </cat>
          <val>
            <numRef>
              <f>'Google Ads'!$B$13:$E$13</f>
            </numRef>
          </val>
        </ser>
        <ser>
          <idx val="2"/>
          <order val="2"/>
          <tx>
            <strRef>
              <f>'Google Ads'!A14</f>
            </strRef>
          </tx>
          <spPr>
            <a:ln>
              <a:prstDash val="solid"/>
            </a:ln>
          </spPr>
          <cat>
            <numRef>
              <f>'Google Ads'!$B$11:$E$11</f>
            </numRef>
          </cat>
          <val>
            <numRef>
              <f>'Google Ads'!$B$14:$E$14</f>
            </numRef>
          </val>
        </ser>
        <ser>
          <idx val="3"/>
          <order val="3"/>
          <tx>
            <strRef>
              <f>'Google Ads'!A15</f>
            </strRef>
          </tx>
          <spPr>
            <a:ln>
              <a:prstDash val="solid"/>
            </a:ln>
          </spPr>
          <cat>
            <numRef>
              <f>'Google Ads'!$B$11:$E$11</f>
            </numRef>
          </cat>
          <val>
            <numRef>
              <f>'Google Ads'!$B$15:$E$15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Mes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Conversiones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.xml><?xml version="1.0" encoding="utf-8"?>
<chartSpace xmlns:a="http://schemas.openxmlformats.org/drawingml/2006/main" xmlns="http://schemas.openxmlformats.org/drawingml/2006/chart">
  <style val="12"/>
  <chart>
    <title>
      <tx>
        <rich>
          <a:bodyPr/>
          <a:p>
            <a:pPr>
              <a:defRPr/>
            </a:pPr>
            <a:r>
              <a:t>Meta Ads: CPA mensual por producto (US$)</a:t>
            </a:r>
          </a:p>
        </rich>
      </tx>
    </title>
    <plotArea>
      <lineChart>
        <grouping val="standard"/>
        <ser>
          <idx val="0"/>
          <order val="0"/>
          <tx>
            <strRef>
              <f>'Meta Ads'!A19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'Meta Ads'!$B$18:$E$18</f>
            </numRef>
          </cat>
          <val>
            <numRef>
              <f>'Meta Ads'!$B$19:$E$19</f>
            </numRef>
          </val>
        </ser>
        <ser>
          <idx val="1"/>
          <order val="1"/>
          <tx>
            <strRef>
              <f>'Meta Ads'!A20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'Meta Ads'!$B$18:$E$18</f>
            </numRef>
          </cat>
          <val>
            <numRef>
              <f>'Meta Ads'!$B$20:$E$20</f>
            </numRef>
          </val>
        </ser>
        <ser>
          <idx val="2"/>
          <order val="2"/>
          <tx>
            <strRef>
              <f>'Meta Ads'!A21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'Meta Ads'!$B$18:$E$18</f>
            </numRef>
          </cat>
          <val>
            <numRef>
              <f>'Meta Ads'!$B$21:$E$21</f>
            </numRef>
          </val>
        </ser>
        <ser>
          <idx val="3"/>
          <order val="3"/>
          <tx>
            <strRef>
              <f>'Meta Ads'!A22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'Meta Ads'!$B$18:$E$18</f>
            </numRef>
          </cat>
          <val>
            <numRef>
              <f>'Meta Ads'!$B$22:$E$22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Mes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CPA (US$)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4.xml><?xml version="1.0" encoding="utf-8"?>
<chartSpace xmlns:a="http://schemas.openxmlformats.org/drawingml/2006/main" xmlns="http://schemas.openxmlformats.org/drawingml/2006/chart">
  <style val="11"/>
  <chart>
    <title>
      <tx>
        <rich>
          <a:bodyPr/>
          <a:p>
            <a:pPr>
              <a:defRPr/>
            </a:pPr>
            <a:r>
              <a:t>Meta Ads: Conversiones mensuales por producto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'Meta Ads'!A12</f>
            </strRef>
          </tx>
          <spPr>
            <a:ln>
              <a:prstDash val="solid"/>
            </a:ln>
          </spPr>
          <cat>
            <numRef>
              <f>'Meta Ads'!$B$11:$E$11</f>
            </numRef>
          </cat>
          <val>
            <numRef>
              <f>'Meta Ads'!$B$12:$E$12</f>
            </numRef>
          </val>
        </ser>
        <ser>
          <idx val="1"/>
          <order val="1"/>
          <tx>
            <strRef>
              <f>'Meta Ads'!A13</f>
            </strRef>
          </tx>
          <spPr>
            <a:ln>
              <a:prstDash val="solid"/>
            </a:ln>
          </spPr>
          <cat>
            <numRef>
              <f>'Meta Ads'!$B$11:$E$11</f>
            </numRef>
          </cat>
          <val>
            <numRef>
              <f>'Meta Ads'!$B$13:$E$13</f>
            </numRef>
          </val>
        </ser>
        <ser>
          <idx val="2"/>
          <order val="2"/>
          <tx>
            <strRef>
              <f>'Meta Ads'!A14</f>
            </strRef>
          </tx>
          <spPr>
            <a:ln>
              <a:prstDash val="solid"/>
            </a:ln>
          </spPr>
          <cat>
            <numRef>
              <f>'Meta Ads'!$B$11:$E$11</f>
            </numRef>
          </cat>
          <val>
            <numRef>
              <f>'Meta Ads'!$B$14:$E$14</f>
            </numRef>
          </val>
        </ser>
        <ser>
          <idx val="3"/>
          <order val="3"/>
          <tx>
            <strRef>
              <f>'Meta Ads'!A15</f>
            </strRef>
          </tx>
          <spPr>
            <a:ln>
              <a:prstDash val="solid"/>
            </a:ln>
          </spPr>
          <cat>
            <numRef>
              <f>'Meta Ads'!$B$11:$E$11</f>
            </numRef>
          </cat>
          <val>
            <numRef>
              <f>'Meta Ads'!$B$15:$E$15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Mes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Conversiones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5.xml><?xml version="1.0" encoding="utf-8"?>
<chartSpace xmlns:a="http://schemas.openxmlformats.org/drawingml/2006/main" xmlns="http://schemas.openxmlformats.org/drawingml/2006/chart">
  <style val="12"/>
  <chart>
    <title>
      <tx>
        <rich>
          <a:bodyPr/>
          <a:p>
            <a:pPr>
              <a:defRPr/>
            </a:pPr>
            <a:r>
              <a:t>CPA mensual por producto y plataforma</a:t>
            </a:r>
          </a:p>
        </rich>
      </tx>
    </title>
    <plotArea>
      <lineChart>
        <grouping val="standard"/>
        <ser>
          <idx val="0"/>
          <order val="0"/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'Combinado'!$C$3:$F$3</f>
            </numRef>
          </cat>
          <val>
            <numRef>
              <f>'Combinado'!$B$4:$F$4</f>
            </numRef>
          </val>
        </ser>
        <ser>
          <idx val="1"/>
          <order val="1"/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'Combinado'!$C$3:$F$3</f>
            </numRef>
          </cat>
          <val>
            <numRef>
              <f>'Combinado'!$B$5:$F$5</f>
            </numRef>
          </val>
        </ser>
        <ser>
          <idx val="2"/>
          <order val="2"/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'Combinado'!$C$3:$F$3</f>
            </numRef>
          </cat>
          <val>
            <numRef>
              <f>'Combinado'!$B$6:$F$6</f>
            </numRef>
          </val>
        </ser>
        <ser>
          <idx val="3"/>
          <order val="3"/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'Combinado'!$C$3:$F$3</f>
            </numRef>
          </cat>
          <val>
            <numRef>
              <f>'Combinado'!$B$7:$F$7</f>
            </numRef>
          </val>
        </ser>
        <ser>
          <idx val="4"/>
          <order val="4"/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'Combinado'!$C$3:$F$3</f>
            </numRef>
          </cat>
          <val>
            <numRef>
              <f>'Combinado'!$B$8:$F$8</f>
            </numRef>
          </val>
        </ser>
        <ser>
          <idx val="5"/>
          <order val="5"/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'Combinado'!$C$3:$F$3</f>
            </numRef>
          </cat>
          <val>
            <numRef>
              <f>'Combinado'!$B$9:$F$9</f>
            </numRef>
          </val>
        </ser>
        <ser>
          <idx val="6"/>
          <order val="6"/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'Combinado'!$C$3:$F$3</f>
            </numRef>
          </cat>
          <val>
            <numRef>
              <f>'Combinado'!$B$10:$F$10</f>
            </numRef>
          </val>
        </ser>
        <ser>
          <idx val="7"/>
          <order val="7"/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'Combinado'!$C$3:$F$3</f>
            </numRef>
          </cat>
          <val>
            <numRef>
              <f>'Combinado'!$B$11:$F$11</f>
            </numRef>
          </val>
        </ser>
        <ser>
          <idx val="8"/>
          <order val="8"/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'Combinado'!$C$3:$F$3</f>
            </numRef>
          </cat>
          <val>
            <numRef>
              <f>'Combinado'!$B$12:$F$12</f>
            </numRef>
          </val>
        </ser>
        <ser>
          <idx val="9"/>
          <order val="9"/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'Combinado'!$C$3:$F$3</f>
            </numRef>
          </cat>
          <val>
            <numRef>
              <f>'Combinado'!$B$13:$F$13</f>
            </numRef>
          </val>
        </ser>
        <ser>
          <idx val="10"/>
          <order val="10"/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'Combinado'!$C$3:$F$3</f>
            </numRef>
          </cat>
          <val>
            <numRef>
              <f>'Combinado'!$B$14:$F$14</f>
            </numRef>
          </val>
        </ser>
        <ser>
          <idx val="11"/>
          <order val="11"/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'Combinado'!$C$3:$F$3</f>
            </numRef>
          </cat>
          <val>
            <numRef>
              <f>'Combinado'!$B$15:$F$15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Mes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CPA (US$)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/Relationships>
</file>

<file path=xl/drawings/_rels/drawing2.xml.rels><Relationships xmlns="http://schemas.openxmlformats.org/package/2006/relationships"><Relationship Type="http://schemas.openxmlformats.org/officeDocument/2006/relationships/chart" Target="/xl/charts/chart3.xml" Id="rId1" /><Relationship Type="http://schemas.openxmlformats.org/officeDocument/2006/relationships/chart" Target="/xl/charts/chart4.xml" Id="rId2" /></Relationships>
</file>

<file path=xl/drawings/_rels/drawing3.xml.rels><Relationships xmlns="http://schemas.openxmlformats.org/package/2006/relationships"><Relationship Type="http://schemas.openxmlformats.org/officeDocument/2006/relationships/chart" Target="/xl/charts/chart5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7</col>
      <colOff>0</colOff>
      <row>2</row>
      <rowOff>0</rowOff>
    </from>
    <ext cx="6480000" cy="36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7</col>
      <colOff>0</colOff>
      <row>21</row>
      <rowOff>0</rowOff>
    </from>
    <ext cx="6480000" cy="36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</wsDr>
</file>

<file path=xl/drawings/drawing2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7</col>
      <colOff>0</colOff>
      <row>2</row>
      <rowOff>0</rowOff>
    </from>
    <ext cx="6480000" cy="36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7</col>
      <colOff>0</colOff>
      <row>21</row>
      <rowOff>0</rowOff>
    </from>
    <ext cx="6480000" cy="36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</wsDr>
</file>

<file path=xl/drawings/drawing3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8</col>
      <colOff>0</colOff>
      <row>2</row>
      <rowOff>0</rowOff>
    </from>
    <ext cx="7920000" cy="432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_rels/sheet3.xml.rels><Relationships xmlns="http://schemas.openxmlformats.org/package/2006/relationships"><Relationship Type="http://schemas.openxmlformats.org/officeDocument/2006/relationships/drawing" Target="/xl/drawings/drawing2.xml" Id="rId1" /></Relationships>
</file>

<file path=xl/worksheets/_rels/sheet4.xml.rels><Relationships xmlns="http://schemas.openxmlformats.org/package/2006/relationships"><Relationship Type="http://schemas.openxmlformats.org/officeDocument/2006/relationships/drawing" Target="/xl/drawings/drawing3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30"/>
  <sheetViews>
    <sheetView workbookViewId="0">
      <selection activeCell="A1" sqref="A1"/>
    </sheetView>
  </sheetViews>
  <sheetFormatPr baseColWidth="8" defaultRowHeight="15"/>
  <cols>
    <col width="26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>
      <c r="A1" s="1" t="inlineStr">
        <is>
          <t>Análisis de costos de conversión · Ene–Abr 2026</t>
        </is>
      </c>
    </row>
    <row r="2">
      <c r="A2" s="2" t="inlineStr">
        <is>
          <t>Google Ads + Meta Ads · 4 productos · conversiones reportadas por la plataforma</t>
        </is>
      </c>
    </row>
    <row r="4" ht="32" customHeight="1">
      <c r="A4" s="3" t="inlineStr">
        <is>
          <t>Producto / Plataforma</t>
        </is>
      </c>
      <c r="B4" s="3" t="inlineStr">
        <is>
          <t>Ene · Coste US$</t>
        </is>
      </c>
      <c r="C4" s="3" t="inlineStr">
        <is>
          <t>Ene · Conv.</t>
        </is>
      </c>
      <c r="D4" s="3" t="inlineStr">
        <is>
          <t>Ene · CPA US$</t>
        </is>
      </c>
      <c r="E4" s="3" t="inlineStr">
        <is>
          <t>Feb · Coste US$</t>
        </is>
      </c>
      <c r="F4" s="3" t="inlineStr">
        <is>
          <t>Feb · Conv.</t>
        </is>
      </c>
      <c r="G4" s="3" t="inlineStr">
        <is>
          <t>Feb · CPA US$</t>
        </is>
      </c>
      <c r="H4" s="3" t="inlineStr">
        <is>
          <t>Mar · Coste US$</t>
        </is>
      </c>
      <c r="I4" s="3" t="inlineStr">
        <is>
          <t>Mar · Conv.</t>
        </is>
      </c>
      <c r="J4" s="3" t="inlineStr">
        <is>
          <t>Mar · CPA US$</t>
        </is>
      </c>
      <c r="K4" s="3" t="inlineStr">
        <is>
          <t>Abr · Coste US$</t>
        </is>
      </c>
      <c r="L4" s="3" t="inlineStr">
        <is>
          <t>Abr · Conv.</t>
        </is>
      </c>
      <c r="M4" s="3" t="inlineStr">
        <is>
          <t>Abr · CPA US$</t>
        </is>
      </c>
      <c r="N4" s="3" t="inlineStr">
        <is>
          <t>Total Coste</t>
        </is>
      </c>
      <c r="O4" s="3" t="inlineStr">
        <is>
          <t>Total Conv.</t>
        </is>
      </c>
    </row>
    <row r="5">
      <c r="A5" s="4" t="inlineStr">
        <is>
          <t>GOOGLE ADS</t>
        </is>
      </c>
      <c r="B5" s="5" t="n"/>
      <c r="C5" s="5" t="n"/>
      <c r="D5" s="5" t="n"/>
      <c r="E5" s="5" t="n"/>
      <c r="F5" s="5" t="n"/>
      <c r="G5" s="5" t="n"/>
      <c r="H5" s="5" t="n"/>
      <c r="I5" s="5" t="n"/>
      <c r="J5" s="5" t="n"/>
      <c r="K5" s="5" t="n"/>
      <c r="L5" s="5" t="n"/>
      <c r="M5" s="5" t="n"/>
      <c r="N5" s="6" t="n"/>
    </row>
    <row r="6">
      <c r="A6" s="7" t="inlineStr">
        <is>
          <t>Autos (Google)</t>
        </is>
      </c>
      <c r="B6" s="8" t="n">
        <v>26333.21</v>
      </c>
      <c r="C6" s="9" t="n">
        <v>6105.7</v>
      </c>
      <c r="D6" s="10" t="n">
        <v>4.31</v>
      </c>
      <c r="E6" s="8" t="n">
        <v>28539.28</v>
      </c>
      <c r="F6" s="9" t="n">
        <v>5724</v>
      </c>
      <c r="G6" s="10" t="n">
        <v>4.99</v>
      </c>
      <c r="H6" s="8" t="n">
        <v>26308.56</v>
      </c>
      <c r="I6" s="9" t="n">
        <v>5395.7</v>
      </c>
      <c r="J6" s="10" t="n">
        <v>4.88</v>
      </c>
      <c r="K6" s="8" t="n">
        <v>28241.97</v>
      </c>
      <c r="L6" s="9" t="n">
        <v>4798</v>
      </c>
      <c r="M6" s="10" t="n">
        <v>5.89</v>
      </c>
      <c r="N6" s="11" t="n">
        <v>109423.02</v>
      </c>
      <c r="O6" s="12" t="n">
        <v>22023</v>
      </c>
    </row>
    <row r="7">
      <c r="A7" s="7" t="inlineStr">
        <is>
          <t>Motos (Google)</t>
        </is>
      </c>
      <c r="B7" s="8" t="n">
        <v>9166.530000000001</v>
      </c>
      <c r="C7" s="9" t="n">
        <v>1367.7</v>
      </c>
      <c r="D7" s="10" t="n">
        <v>6.7</v>
      </c>
      <c r="E7" s="8" t="n">
        <v>16853.38</v>
      </c>
      <c r="F7" s="9" t="n">
        <v>1616.7</v>
      </c>
      <c r="G7" s="10" t="n">
        <v>10.42</v>
      </c>
      <c r="H7" s="8" t="n">
        <v>17494.42</v>
      </c>
      <c r="I7" s="9" t="n">
        <v>1592</v>
      </c>
      <c r="J7" s="10" t="n">
        <v>10.99</v>
      </c>
      <c r="K7" s="8" t="n">
        <v>17507.77</v>
      </c>
      <c r="L7" s="9" t="n">
        <v>1274</v>
      </c>
      <c r="M7" s="10" t="n">
        <v>13.74</v>
      </c>
      <c r="N7" s="11" t="n">
        <v>61022.1</v>
      </c>
      <c r="O7" s="12" t="n">
        <v>5850</v>
      </c>
    </row>
    <row r="8">
      <c r="A8" s="7" t="inlineStr">
        <is>
          <t>Viajes (Google)</t>
        </is>
      </c>
      <c r="B8" s="8" t="n">
        <v>6000.8</v>
      </c>
      <c r="C8" s="9" t="n">
        <v>212</v>
      </c>
      <c r="D8" s="10" t="n">
        <v>28.31</v>
      </c>
      <c r="E8" s="8" t="n">
        <v>6472.04</v>
      </c>
      <c r="F8" s="9" t="n">
        <v>227.3</v>
      </c>
      <c r="G8" s="10" t="n">
        <v>28.47</v>
      </c>
      <c r="H8" s="8" t="n">
        <v>6887.56</v>
      </c>
      <c r="I8" s="9" t="n">
        <v>310</v>
      </c>
      <c r="J8" s="10" t="n">
        <v>22.22</v>
      </c>
      <c r="K8" s="8" t="n">
        <v>7843.18</v>
      </c>
      <c r="L8" s="9" t="n">
        <v>252.7</v>
      </c>
      <c r="M8" s="10" t="n">
        <v>31.04</v>
      </c>
      <c r="N8" s="11" t="n">
        <v>27203.58</v>
      </c>
      <c r="O8" s="12" t="n">
        <v>1002</v>
      </c>
    </row>
    <row r="9">
      <c r="A9" s="7" t="inlineStr">
        <is>
          <t>Arriendo (Google)</t>
        </is>
      </c>
      <c r="B9" s="8" t="n">
        <v>14612.92</v>
      </c>
      <c r="C9" s="9" t="n">
        <v>1036</v>
      </c>
      <c r="D9" s="10" t="n">
        <v>14.11</v>
      </c>
      <c r="E9" s="8" t="n">
        <v>10099.5</v>
      </c>
      <c r="F9" s="9" t="n">
        <v>1582.5</v>
      </c>
      <c r="G9" s="10" t="n">
        <v>6.38</v>
      </c>
      <c r="H9" s="8" t="n">
        <v>13803.48</v>
      </c>
      <c r="I9" s="9" t="n">
        <v>1137</v>
      </c>
      <c r="J9" s="10" t="n">
        <v>12.14</v>
      </c>
      <c r="K9" s="8" t="n">
        <v>19753.56</v>
      </c>
      <c r="L9" s="9" t="n">
        <v>619.6</v>
      </c>
      <c r="M9" s="10" t="n">
        <v>31.88</v>
      </c>
      <c r="N9" s="11" t="n">
        <v>58269.46</v>
      </c>
      <c r="O9" s="12" t="n">
        <v>4375</v>
      </c>
    </row>
    <row r="10">
      <c r="A10" s="4" t="inlineStr">
        <is>
          <t>META ADS</t>
        </is>
      </c>
      <c r="B10" s="5" t="n"/>
      <c r="C10" s="5" t="n"/>
      <c r="D10" s="5" t="n"/>
      <c r="E10" s="5" t="n"/>
      <c r="F10" s="5" t="n"/>
      <c r="G10" s="5" t="n"/>
      <c r="H10" s="5" t="n"/>
      <c r="I10" s="5" t="n"/>
      <c r="J10" s="5" t="n"/>
      <c r="K10" s="5" t="n"/>
      <c r="L10" s="5" t="n"/>
      <c r="M10" s="5" t="n"/>
      <c r="N10" s="6" t="n"/>
    </row>
    <row r="11">
      <c r="A11" s="7" t="inlineStr">
        <is>
          <t>Autos (Meta)</t>
        </is>
      </c>
      <c r="B11" s="8" t="n">
        <v>13662.32</v>
      </c>
      <c r="C11" s="9" t="n">
        <v>4581</v>
      </c>
      <c r="D11" s="10" t="n">
        <v>2.98</v>
      </c>
      <c r="E11" s="8" t="n">
        <v>15350.26</v>
      </c>
      <c r="F11" s="9" t="n">
        <v>3659</v>
      </c>
      <c r="G11" s="10" t="n">
        <v>4.2</v>
      </c>
      <c r="H11" s="8" t="n">
        <v>13988.08</v>
      </c>
      <c r="I11" s="9" t="n">
        <v>2938</v>
      </c>
      <c r="J11" s="10" t="n">
        <v>4.76</v>
      </c>
      <c r="K11" s="8" t="n">
        <v>10120.49</v>
      </c>
      <c r="L11" s="9" t="n">
        <v>2410</v>
      </c>
      <c r="M11" s="10" t="n">
        <v>4.2</v>
      </c>
      <c r="N11" s="11" t="n">
        <v>53121.15</v>
      </c>
      <c r="O11" s="12" t="n">
        <v>13588</v>
      </c>
    </row>
    <row r="12">
      <c r="A12" s="7" t="inlineStr">
        <is>
          <t>Motos (Meta)</t>
        </is>
      </c>
      <c r="B12" s="8" t="n">
        <v>7846.52</v>
      </c>
      <c r="C12" s="9" t="n">
        <v>938</v>
      </c>
      <c r="D12" s="10" t="n">
        <v>8.369999999999999</v>
      </c>
      <c r="E12" s="8" t="n">
        <v>11319.71</v>
      </c>
      <c r="F12" s="9" t="n">
        <v>909</v>
      </c>
      <c r="G12" s="10" t="n">
        <v>12.45</v>
      </c>
      <c r="H12" s="8" t="n">
        <v>12547.71</v>
      </c>
      <c r="I12" s="9" t="n">
        <v>799</v>
      </c>
      <c r="J12" s="10" t="n">
        <v>15.7</v>
      </c>
      <c r="K12" s="8" t="n">
        <v>6271.91</v>
      </c>
      <c r="L12" s="9" t="n">
        <v>589</v>
      </c>
      <c r="M12" s="10" t="n">
        <v>10.65</v>
      </c>
      <c r="N12" s="11" t="n">
        <v>37985.85</v>
      </c>
      <c r="O12" s="12" t="n">
        <v>3235</v>
      </c>
    </row>
    <row r="13">
      <c r="A13" s="7" t="inlineStr">
        <is>
          <t>Viajes (Meta)</t>
        </is>
      </c>
      <c r="B13" s="8" t="n">
        <v>3122.5</v>
      </c>
      <c r="C13" s="9" t="n">
        <v>98</v>
      </c>
      <c r="D13" s="10" t="n">
        <v>31.86</v>
      </c>
      <c r="E13" s="8" t="n">
        <v>3488.42</v>
      </c>
      <c r="F13" s="9" t="n">
        <v>73</v>
      </c>
      <c r="G13" s="10" t="n">
        <v>47.79</v>
      </c>
      <c r="H13" s="8" t="n">
        <v>3733.25</v>
      </c>
      <c r="I13" s="9" t="n">
        <v>139</v>
      </c>
      <c r="J13" s="10" t="n">
        <v>26.86</v>
      </c>
      <c r="K13" s="8" t="n">
        <v>2951.76</v>
      </c>
      <c r="L13" s="9" t="n">
        <v>101</v>
      </c>
      <c r="M13" s="10" t="n">
        <v>29.23</v>
      </c>
      <c r="N13" s="11" t="n">
        <v>13295.93</v>
      </c>
      <c r="O13" s="12" t="n">
        <v>411</v>
      </c>
    </row>
    <row r="14">
      <c r="A14" s="7" t="inlineStr">
        <is>
          <t>Arriendo (Meta)</t>
        </is>
      </c>
      <c r="B14" s="8" t="n">
        <v>21158.54</v>
      </c>
      <c r="C14" s="9" t="n">
        <v>2795</v>
      </c>
      <c r="D14" s="10" t="n">
        <v>7.57</v>
      </c>
      <c r="E14" s="8" t="n">
        <v>11626.09</v>
      </c>
      <c r="F14" s="9" t="n">
        <v>2151</v>
      </c>
      <c r="G14" s="10" t="n">
        <v>5.4</v>
      </c>
      <c r="H14" s="8" t="n">
        <v>17664.2</v>
      </c>
      <c r="I14" s="9" t="n">
        <v>2128</v>
      </c>
      <c r="J14" s="10" t="n">
        <v>8.300000000000001</v>
      </c>
      <c r="K14" s="8" t="n">
        <v>8490.23</v>
      </c>
      <c r="L14" s="9" t="n">
        <v>1646</v>
      </c>
      <c r="M14" s="10" t="n">
        <v>5.16</v>
      </c>
      <c r="N14" s="11" t="n">
        <v>58939.06</v>
      </c>
      <c r="O14" s="12" t="n">
        <v>8720</v>
      </c>
    </row>
    <row r="15">
      <c r="A15" s="4" t="inlineStr">
        <is>
          <t>COMBINADO (Google + Meta)</t>
        </is>
      </c>
      <c r="B15" s="5" t="n"/>
      <c r="C15" s="5" t="n"/>
      <c r="D15" s="5" t="n"/>
      <c r="E15" s="5" t="n"/>
      <c r="F15" s="5" t="n"/>
      <c r="G15" s="5" t="n"/>
      <c r="H15" s="5" t="n"/>
      <c r="I15" s="5" t="n"/>
      <c r="J15" s="5" t="n"/>
      <c r="K15" s="5" t="n"/>
      <c r="L15" s="5" t="n"/>
      <c r="M15" s="5" t="n"/>
      <c r="N15" s="6" t="n"/>
    </row>
    <row r="16">
      <c r="A16" s="7" t="inlineStr">
        <is>
          <t>Autos (Total)</t>
        </is>
      </c>
      <c r="B16" s="8" t="n">
        <v>39995.53</v>
      </c>
      <c r="C16" s="9" t="n">
        <v>10686.7</v>
      </c>
      <c r="D16" s="10" t="n">
        <v>3.74</v>
      </c>
      <c r="E16" s="8" t="n">
        <v>43889.54</v>
      </c>
      <c r="F16" s="9" t="n">
        <v>9383</v>
      </c>
      <c r="G16" s="10" t="n">
        <v>4.68</v>
      </c>
      <c r="H16" s="8" t="n">
        <v>40296.64</v>
      </c>
      <c r="I16" s="9" t="n">
        <v>8333.700000000001</v>
      </c>
      <c r="J16" s="10" t="n">
        <v>4.84</v>
      </c>
      <c r="K16" s="8" t="n">
        <v>38362.46</v>
      </c>
      <c r="L16" s="9" t="n">
        <v>7208</v>
      </c>
      <c r="M16" s="10" t="n">
        <v>5.32</v>
      </c>
      <c r="N16" s="11" t="n">
        <v>162544.17</v>
      </c>
      <c r="O16" s="12" t="n">
        <v>35611</v>
      </c>
    </row>
    <row r="17">
      <c r="A17" s="7" t="inlineStr">
        <is>
          <t>Motos (Total)</t>
        </is>
      </c>
      <c r="B17" s="8" t="n">
        <v>17013.05</v>
      </c>
      <c r="C17" s="9" t="n">
        <v>2305.7</v>
      </c>
      <c r="D17" s="10" t="n">
        <v>7.38</v>
      </c>
      <c r="E17" s="8" t="n">
        <v>28173.09</v>
      </c>
      <c r="F17" s="9" t="n">
        <v>2525.7</v>
      </c>
      <c r="G17" s="10" t="n">
        <v>11.15</v>
      </c>
      <c r="H17" s="8" t="n">
        <v>30042.13</v>
      </c>
      <c r="I17" s="9" t="n">
        <v>2391</v>
      </c>
      <c r="J17" s="10" t="n">
        <v>12.56</v>
      </c>
      <c r="K17" s="8" t="n">
        <v>23779.68</v>
      </c>
      <c r="L17" s="9" t="n">
        <v>1863</v>
      </c>
      <c r="M17" s="10" t="n">
        <v>12.76</v>
      </c>
      <c r="N17" s="11" t="n">
        <v>99007.95</v>
      </c>
      <c r="O17" s="12" t="n">
        <v>9085</v>
      </c>
    </row>
    <row r="18">
      <c r="A18" s="7" t="inlineStr">
        <is>
          <t>Viajes (Total)</t>
        </is>
      </c>
      <c r="B18" s="8" t="n">
        <v>9123.299999999999</v>
      </c>
      <c r="C18" s="9" t="n">
        <v>310</v>
      </c>
      <c r="D18" s="10" t="n">
        <v>29.43</v>
      </c>
      <c r="E18" s="8" t="n">
        <v>9960.459999999999</v>
      </c>
      <c r="F18" s="9" t="n">
        <v>300.3</v>
      </c>
      <c r="G18" s="10" t="n">
        <v>33.17</v>
      </c>
      <c r="H18" s="8" t="n">
        <v>10620.81</v>
      </c>
      <c r="I18" s="9" t="n">
        <v>449</v>
      </c>
      <c r="J18" s="10" t="n">
        <v>23.66</v>
      </c>
      <c r="K18" s="8" t="n">
        <v>10794.94</v>
      </c>
      <c r="L18" s="9" t="n">
        <v>353.7</v>
      </c>
      <c r="M18" s="10" t="n">
        <v>30.52</v>
      </c>
      <c r="N18" s="11" t="n">
        <v>40499.51</v>
      </c>
      <c r="O18" s="12" t="n">
        <v>1413</v>
      </c>
    </row>
    <row r="19">
      <c r="A19" s="7" t="inlineStr">
        <is>
          <t>Arriendo (Total)</t>
        </is>
      </c>
      <c r="B19" s="8" t="n">
        <v>35771.46</v>
      </c>
      <c r="C19" s="9" t="n">
        <v>3831</v>
      </c>
      <c r="D19" s="10" t="n">
        <v>9.34</v>
      </c>
      <c r="E19" s="8" t="n">
        <v>21725.59</v>
      </c>
      <c r="F19" s="9" t="n">
        <v>3733.5</v>
      </c>
      <c r="G19" s="10" t="n">
        <v>5.82</v>
      </c>
      <c r="H19" s="8" t="n">
        <v>31467.68</v>
      </c>
      <c r="I19" s="9" t="n">
        <v>3264.9</v>
      </c>
      <c r="J19" s="10" t="n">
        <v>9.640000000000001</v>
      </c>
      <c r="K19" s="8" t="n">
        <v>28243.79</v>
      </c>
      <c r="L19" s="9" t="n">
        <v>2265.6</v>
      </c>
      <c r="M19" s="10" t="n">
        <v>12.47</v>
      </c>
      <c r="N19" s="11" t="n">
        <v>117208.52</v>
      </c>
      <c r="O19" s="12" t="n">
        <v>13095</v>
      </c>
    </row>
    <row r="22">
      <c r="A22" s="4" t="inlineStr">
        <is>
          <t>INSIGHTS CLAVE</t>
        </is>
      </c>
      <c r="B22" s="5" t="n"/>
      <c r="C22" s="5" t="n"/>
      <c r="D22" s="5" t="n"/>
      <c r="E22" s="5" t="n"/>
      <c r="F22" s="5" t="n"/>
      <c r="G22" s="5" t="n"/>
      <c r="H22" s="5" t="n"/>
      <c r="I22" s="5" t="n"/>
      <c r="J22" s="5" t="n"/>
      <c r="K22" s="5" t="n"/>
      <c r="L22" s="5" t="n"/>
      <c r="M22" s="5" t="n"/>
      <c r="N22" s="6" t="n"/>
    </row>
    <row r="23" ht="38" customHeight="1">
      <c r="A23" s="13" t="inlineStr">
        <is>
          <t>• Autos · Google Ads: conversiones ↓ 21% (Ene 6,106 → Abr 4,798) · CPA ↑ 36% (US$ 4.31 → US$ 5.89). Eficiencia degradada — revisar volumen Search vs PMax.</t>
        </is>
      </c>
    </row>
    <row r="24" ht="38" customHeight="1">
      <c r="A24" s="13" t="inlineStr">
        <is>
          <t>• Autos · Meta Ads: conversiones ↓ 47% (Ene 4,581 → Abr 2,410) · CPA ↑ 41% (US$ 2.98 → US$ 4.20). Caída fuerte de volumen — fatiga creativa o saturación de audiencia.</t>
        </is>
      </c>
    </row>
    <row r="25" ht="38" customHeight="1">
      <c r="A25" s="13" t="inlineStr">
        <is>
          <t>• Motos · Google Ads: conversiones ↓ 7% (Ene 1,368 → Abr 1,274) · CPA ↑ 105% (US$ 6.70 → US$ 13.74). Eficiencia degradada — revisar volumen Search vs PMax.</t>
        </is>
      </c>
    </row>
    <row r="26" ht="38" customHeight="1">
      <c r="A26" s="13" t="inlineStr">
        <is>
          <t>• Motos · Meta Ads: conversiones ↓ 37% (Ene 938 → Abr 589) · CPA ↑ 27% (US$ 8.37 → US$ 10.65). Caída fuerte de volumen — fatiga creativa o saturación de audiencia.</t>
        </is>
      </c>
    </row>
    <row r="27" ht="38" customHeight="1">
      <c r="A27" s="13" t="inlineStr">
        <is>
          <t>• Viajes · Google Ads: conversiones ↑ 19% (Ene 212 → Abr 253) · CPA ↑ 10% (US$ 28.31 → US$ 31.04). Leve degradación de eficiencia.</t>
        </is>
      </c>
    </row>
    <row r="28" ht="38" customHeight="1">
      <c r="A28" s="13" t="inlineStr">
        <is>
          <t>• Viajes · Meta Ads: conversiones ↑ 3% (Ene 98 → Abr 101) · CPA ↓ 8% (US$ 31.86 → US$ 29.23). Volumen estable.</t>
        </is>
      </c>
    </row>
    <row r="29" ht="38" customHeight="1">
      <c r="A29" s="13" t="inlineStr">
        <is>
          <t>• Arriendo · Google Ads: conversiones ↓ 40% (Ene 1,036 → Abr 620) · CPA ↑ 126% (US$ 14.11 → US$ 31.88). Eficiencia degradada — revisar volumen Search vs PMax.</t>
        </is>
      </c>
    </row>
    <row r="30" ht="38" customHeight="1">
      <c r="A30" s="13" t="inlineStr">
        <is>
          <t>• Arriendo · Meta Ads: conversiones ↓ 41% (Ene 2,795 → Abr 1,646) · CPA ↓ 32% (US$ 7.57 → US$ 5.16). Caída fuerte de volumen — fatiga creativa o saturación de audiencia.</t>
        </is>
      </c>
    </row>
  </sheetData>
  <mergeCells count="14">
    <mergeCell ref="A27:N27"/>
    <mergeCell ref="A22:N22"/>
    <mergeCell ref="A26:N26"/>
    <mergeCell ref="A24:N24"/>
    <mergeCell ref="A2:N2"/>
    <mergeCell ref="A28:N28"/>
    <mergeCell ref="A15:N15"/>
    <mergeCell ref="A29:N29"/>
    <mergeCell ref="A25:N25"/>
    <mergeCell ref="A30:N30"/>
    <mergeCell ref="A10:N10"/>
    <mergeCell ref="A5:N5"/>
    <mergeCell ref="A23:N23"/>
    <mergeCell ref="A1:N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29"/>
  <sheetViews>
    <sheetView workbookViewId="0">
      <selection activeCell="A1" sqref="A1"/>
    </sheetView>
  </sheetViews>
  <sheetFormatPr baseColWidth="8" defaultRowHeight="15"/>
  <cols>
    <col width="18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</cols>
  <sheetData>
    <row r="1">
      <c r="A1" s="14" t="inlineStr">
        <is>
          <t>Google Ads · mes a mes · Ene–Abr 2026</t>
        </is>
      </c>
    </row>
    <row r="3">
      <c r="A3" s="4" t="inlineStr">
        <is>
          <t>COSTE (US$)</t>
        </is>
      </c>
      <c r="B3" s="5" t="n"/>
      <c r="C3" s="5" t="n"/>
      <c r="D3" s="5" t="n"/>
      <c r="E3" s="5" t="n"/>
      <c r="F3" s="6" t="n"/>
    </row>
    <row r="4">
      <c r="A4" s="3" t="inlineStr">
        <is>
          <t>Producto</t>
        </is>
      </c>
      <c r="B4" s="3" t="inlineStr">
        <is>
          <t>Ene</t>
        </is>
      </c>
      <c r="C4" s="3" t="inlineStr">
        <is>
          <t>Feb</t>
        </is>
      </c>
      <c r="D4" s="3" t="inlineStr">
        <is>
          <t>Mar</t>
        </is>
      </c>
      <c r="E4" s="3" t="inlineStr">
        <is>
          <t>Abr</t>
        </is>
      </c>
      <c r="F4" s="3" t="inlineStr">
        <is>
          <t>Total</t>
        </is>
      </c>
    </row>
    <row r="5">
      <c r="A5" s="15" t="inlineStr">
        <is>
          <t>Autos</t>
        </is>
      </c>
      <c r="B5" s="8" t="n">
        <v>26333.21</v>
      </c>
      <c r="C5" s="8" t="n">
        <v>28539.28</v>
      </c>
      <c r="D5" s="8" t="n">
        <v>26308.56</v>
      </c>
      <c r="E5" s="8" t="n">
        <v>28241.97</v>
      </c>
      <c r="F5" s="11" t="n">
        <v>109423.02</v>
      </c>
    </row>
    <row r="6">
      <c r="A6" s="15" t="inlineStr">
        <is>
          <t>Motos</t>
        </is>
      </c>
      <c r="B6" s="8" t="n">
        <v>9166.530000000001</v>
      </c>
      <c r="C6" s="8" t="n">
        <v>16853.38</v>
      </c>
      <c r="D6" s="8" t="n">
        <v>17494.42</v>
      </c>
      <c r="E6" s="8" t="n">
        <v>17507.77</v>
      </c>
      <c r="F6" s="11" t="n">
        <v>61022.1</v>
      </c>
    </row>
    <row r="7">
      <c r="A7" s="15" t="inlineStr">
        <is>
          <t>Viajes</t>
        </is>
      </c>
      <c r="B7" s="8" t="n">
        <v>6000.8</v>
      </c>
      <c r="C7" s="8" t="n">
        <v>6472.04</v>
      </c>
      <c r="D7" s="8" t="n">
        <v>6887.56</v>
      </c>
      <c r="E7" s="8" t="n">
        <v>7843.18</v>
      </c>
      <c r="F7" s="11" t="n">
        <v>27203.58</v>
      </c>
    </row>
    <row r="8">
      <c r="A8" s="15" t="inlineStr">
        <is>
          <t>Arriendo</t>
        </is>
      </c>
      <c r="B8" s="8" t="n">
        <v>14612.92</v>
      </c>
      <c r="C8" s="8" t="n">
        <v>10099.5</v>
      </c>
      <c r="D8" s="8" t="n">
        <v>13803.48</v>
      </c>
      <c r="E8" s="8" t="n">
        <v>19753.56</v>
      </c>
      <c r="F8" s="11" t="n">
        <v>58269.46</v>
      </c>
    </row>
    <row r="10">
      <c r="A10" s="4" t="inlineStr">
        <is>
          <t>CONVERSIONES</t>
        </is>
      </c>
      <c r="B10" s="5" t="n"/>
      <c r="C10" s="5" t="n"/>
      <c r="D10" s="5" t="n"/>
      <c r="E10" s="5" t="n"/>
      <c r="F10" s="6" t="n"/>
    </row>
    <row r="11">
      <c r="A11" s="3" t="inlineStr">
        <is>
          <t>Producto</t>
        </is>
      </c>
      <c r="B11" s="3" t="inlineStr">
        <is>
          <t>Ene</t>
        </is>
      </c>
      <c r="C11" s="3" t="inlineStr">
        <is>
          <t>Feb</t>
        </is>
      </c>
      <c r="D11" s="3" t="inlineStr">
        <is>
          <t>Mar</t>
        </is>
      </c>
      <c r="E11" s="3" t="inlineStr">
        <is>
          <t>Abr</t>
        </is>
      </c>
      <c r="F11" s="3" t="inlineStr">
        <is>
          <t>Total</t>
        </is>
      </c>
    </row>
    <row r="12">
      <c r="A12" s="15" t="inlineStr">
        <is>
          <t>Autos</t>
        </is>
      </c>
      <c r="B12" s="9" t="n">
        <v>6105.7</v>
      </c>
      <c r="C12" s="9" t="n">
        <v>5724</v>
      </c>
      <c r="D12" s="9" t="n">
        <v>5395.7</v>
      </c>
      <c r="E12" s="9" t="n">
        <v>4798</v>
      </c>
      <c r="F12" s="12" t="n">
        <v>22023</v>
      </c>
    </row>
    <row r="13">
      <c r="A13" s="15" t="inlineStr">
        <is>
          <t>Motos</t>
        </is>
      </c>
      <c r="B13" s="9" t="n">
        <v>1367.7</v>
      </c>
      <c r="C13" s="9" t="n">
        <v>1616.7</v>
      </c>
      <c r="D13" s="9" t="n">
        <v>1592</v>
      </c>
      <c r="E13" s="9" t="n">
        <v>1274</v>
      </c>
      <c r="F13" s="12" t="n">
        <v>5850</v>
      </c>
    </row>
    <row r="14">
      <c r="A14" s="15" t="inlineStr">
        <is>
          <t>Viajes</t>
        </is>
      </c>
      <c r="B14" s="9" t="n">
        <v>212</v>
      </c>
      <c r="C14" s="9" t="n">
        <v>227.3</v>
      </c>
      <c r="D14" s="9" t="n">
        <v>310</v>
      </c>
      <c r="E14" s="9" t="n">
        <v>252.7</v>
      </c>
      <c r="F14" s="12" t="n">
        <v>1002</v>
      </c>
    </row>
    <row r="15">
      <c r="A15" s="15" t="inlineStr">
        <is>
          <t>Arriendo</t>
        </is>
      </c>
      <c r="B15" s="9" t="n">
        <v>1036</v>
      </c>
      <c r="C15" s="9" t="n">
        <v>1582.5</v>
      </c>
      <c r="D15" s="9" t="n">
        <v>1137</v>
      </c>
      <c r="E15" s="9" t="n">
        <v>619.6</v>
      </c>
      <c r="F15" s="12" t="n">
        <v>4375</v>
      </c>
    </row>
    <row r="17">
      <c r="A17" s="4" t="inlineStr">
        <is>
          <t>CPA (US$ por conversión)</t>
        </is>
      </c>
      <c r="B17" s="5" t="n"/>
      <c r="C17" s="5" t="n"/>
      <c r="D17" s="5" t="n"/>
      <c r="E17" s="5" t="n"/>
      <c r="F17" s="6" t="n"/>
    </row>
    <row r="18">
      <c r="A18" s="3" t="inlineStr">
        <is>
          <t>Producto</t>
        </is>
      </c>
      <c r="B18" s="3" t="inlineStr">
        <is>
          <t>Ene</t>
        </is>
      </c>
      <c r="C18" s="3" t="inlineStr">
        <is>
          <t>Feb</t>
        </is>
      </c>
      <c r="D18" s="3" t="inlineStr">
        <is>
          <t>Mar</t>
        </is>
      </c>
      <c r="E18" s="3" t="inlineStr">
        <is>
          <t>Abr</t>
        </is>
      </c>
      <c r="F18" s="3" t="inlineStr">
        <is>
          <t>Promedio</t>
        </is>
      </c>
    </row>
    <row r="19">
      <c r="A19" s="15" t="inlineStr">
        <is>
          <t>Autos</t>
        </is>
      </c>
      <c r="B19" s="10" t="n">
        <v>4.31</v>
      </c>
      <c r="C19" s="10" t="n">
        <v>4.99</v>
      </c>
      <c r="D19" s="10" t="n">
        <v>4.88</v>
      </c>
      <c r="E19" s="10" t="n">
        <v>5.89</v>
      </c>
      <c r="F19" s="16" t="n">
        <v>5.02</v>
      </c>
    </row>
    <row r="20">
      <c r="A20" s="15" t="inlineStr">
        <is>
          <t>Motos</t>
        </is>
      </c>
      <c r="B20" s="10" t="n">
        <v>6.7</v>
      </c>
      <c r="C20" s="10" t="n">
        <v>10.42</v>
      </c>
      <c r="D20" s="10" t="n">
        <v>10.99</v>
      </c>
      <c r="E20" s="10" t="n">
        <v>13.74</v>
      </c>
      <c r="F20" s="16" t="n">
        <v>10.46</v>
      </c>
    </row>
    <row r="21">
      <c r="A21" s="15" t="inlineStr">
        <is>
          <t>Viajes</t>
        </is>
      </c>
      <c r="B21" s="10" t="n">
        <v>28.31</v>
      </c>
      <c r="C21" s="10" t="n">
        <v>28.47</v>
      </c>
      <c r="D21" s="10" t="n">
        <v>22.22</v>
      </c>
      <c r="E21" s="10" t="n">
        <v>31.04</v>
      </c>
      <c r="F21" s="16" t="n">
        <v>27.51</v>
      </c>
    </row>
    <row r="22">
      <c r="A22" s="15" t="inlineStr">
        <is>
          <t>Arriendo</t>
        </is>
      </c>
      <c r="B22" s="10" t="n">
        <v>14.11</v>
      </c>
      <c r="C22" s="10" t="n">
        <v>6.38</v>
      </c>
      <c r="D22" s="10" t="n">
        <v>12.14</v>
      </c>
      <c r="E22" s="10" t="n">
        <v>31.88</v>
      </c>
      <c r="F22" s="16" t="n">
        <v>16.13</v>
      </c>
    </row>
    <row r="24">
      <c r="A24" s="4" t="inlineStr">
        <is>
          <t>VARIACIÓN MES-A-MES (CPA)</t>
        </is>
      </c>
      <c r="B24" s="5" t="n"/>
      <c r="C24" s="5" t="n"/>
      <c r="D24" s="5" t="n"/>
      <c r="E24" s="6" t="n"/>
    </row>
    <row r="25">
      <c r="A25" s="3" t="inlineStr">
        <is>
          <t>Producto</t>
        </is>
      </c>
      <c r="B25" s="3" t="inlineStr">
        <is>
          <t>Ene→Feb</t>
        </is>
      </c>
      <c r="C25" s="3" t="inlineStr">
        <is>
          <t>Feb→Mar</t>
        </is>
      </c>
      <c r="D25" s="3" t="inlineStr">
        <is>
          <t>Mar→Abr</t>
        </is>
      </c>
      <c r="E25" s="3" t="inlineStr">
        <is>
          <t>Total Ene→Abr</t>
        </is>
      </c>
    </row>
    <row r="26">
      <c r="A26" s="15" t="inlineStr">
        <is>
          <t>Autos</t>
        </is>
      </c>
      <c r="B26" s="17" t="n">
        <v>0.156</v>
      </c>
      <c r="C26" s="18" t="n">
        <v>-0.022</v>
      </c>
      <c r="D26" s="17" t="n">
        <v>0.207</v>
      </c>
      <c r="E26" s="17" t="n">
        <v>0.365</v>
      </c>
    </row>
    <row r="27">
      <c r="A27" s="15" t="inlineStr">
        <is>
          <t>Motos</t>
        </is>
      </c>
      <c r="B27" s="17" t="n">
        <v>0.555</v>
      </c>
      <c r="C27" s="18" t="n">
        <v>0.05400000000000001</v>
      </c>
      <c r="D27" s="17" t="n">
        <v>0.251</v>
      </c>
      <c r="E27" s="17" t="n">
        <v>1.05</v>
      </c>
    </row>
    <row r="28">
      <c r="A28" s="15" t="inlineStr">
        <is>
          <t>Viajes</t>
        </is>
      </c>
      <c r="B28" s="18" t="n">
        <v>0.006</v>
      </c>
      <c r="C28" s="19" t="n">
        <v>-0.22</v>
      </c>
      <c r="D28" s="17" t="n">
        <v>0.397</v>
      </c>
      <c r="E28" s="18" t="n">
        <v>0.096</v>
      </c>
    </row>
    <row r="29">
      <c r="A29" s="15" t="inlineStr">
        <is>
          <t>Arriendo</t>
        </is>
      </c>
      <c r="B29" s="19" t="n">
        <v>-0.5479999999999999</v>
      </c>
      <c r="C29" s="17" t="n">
        <v>0.902</v>
      </c>
      <c r="D29" s="17" t="n">
        <v>1.626</v>
      </c>
      <c r="E29" s="17" t="n">
        <v>1.26</v>
      </c>
    </row>
  </sheetData>
  <mergeCells count="5">
    <mergeCell ref="A10:F10"/>
    <mergeCell ref="A24:E24"/>
    <mergeCell ref="A17:F17"/>
    <mergeCell ref="A3:F3"/>
    <mergeCell ref="A1:Q1"/>
  </mergeCells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Q29"/>
  <sheetViews>
    <sheetView workbookViewId="0">
      <selection activeCell="A1" sqref="A1"/>
    </sheetView>
  </sheetViews>
  <sheetFormatPr baseColWidth="8" defaultRowHeight="15"/>
  <cols>
    <col width="18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</cols>
  <sheetData>
    <row r="1">
      <c r="A1" s="14" t="inlineStr">
        <is>
          <t>Meta Ads · mes a mes · Ene–Abr 2026</t>
        </is>
      </c>
    </row>
    <row r="3">
      <c r="A3" s="4" t="inlineStr">
        <is>
          <t>COSTE (US$)</t>
        </is>
      </c>
      <c r="B3" s="5" t="n"/>
      <c r="C3" s="5" t="n"/>
      <c r="D3" s="5" t="n"/>
      <c r="E3" s="5" t="n"/>
      <c r="F3" s="6" t="n"/>
    </row>
    <row r="4">
      <c r="A4" s="3" t="inlineStr">
        <is>
          <t>Producto</t>
        </is>
      </c>
      <c r="B4" s="3" t="inlineStr">
        <is>
          <t>Ene</t>
        </is>
      </c>
      <c r="C4" s="3" t="inlineStr">
        <is>
          <t>Feb</t>
        </is>
      </c>
      <c r="D4" s="3" t="inlineStr">
        <is>
          <t>Mar</t>
        </is>
      </c>
      <c r="E4" s="3" t="inlineStr">
        <is>
          <t>Abr</t>
        </is>
      </c>
      <c r="F4" s="3" t="inlineStr">
        <is>
          <t>Total</t>
        </is>
      </c>
    </row>
    <row r="5">
      <c r="A5" s="15" t="inlineStr">
        <is>
          <t>Autos</t>
        </is>
      </c>
      <c r="B5" s="8" t="n">
        <v>13662.32</v>
      </c>
      <c r="C5" s="8" t="n">
        <v>15350.26</v>
      </c>
      <c r="D5" s="8" t="n">
        <v>13988.08</v>
      </c>
      <c r="E5" s="8" t="n">
        <v>10120.49</v>
      </c>
      <c r="F5" s="11" t="n">
        <v>53121.15</v>
      </c>
    </row>
    <row r="6">
      <c r="A6" s="15" t="inlineStr">
        <is>
          <t>Motos</t>
        </is>
      </c>
      <c r="B6" s="8" t="n">
        <v>7846.52</v>
      </c>
      <c r="C6" s="8" t="n">
        <v>11319.71</v>
      </c>
      <c r="D6" s="8" t="n">
        <v>12547.71</v>
      </c>
      <c r="E6" s="8" t="n">
        <v>6271.91</v>
      </c>
      <c r="F6" s="11" t="n">
        <v>37985.85</v>
      </c>
    </row>
    <row r="7">
      <c r="A7" s="15" t="inlineStr">
        <is>
          <t>Viajes</t>
        </is>
      </c>
      <c r="B7" s="8" t="n">
        <v>3122.5</v>
      </c>
      <c r="C7" s="8" t="n">
        <v>3488.42</v>
      </c>
      <c r="D7" s="8" t="n">
        <v>3733.25</v>
      </c>
      <c r="E7" s="8" t="n">
        <v>2951.76</v>
      </c>
      <c r="F7" s="11" t="n">
        <v>13295.93</v>
      </c>
    </row>
    <row r="8">
      <c r="A8" s="15" t="inlineStr">
        <is>
          <t>Arriendo</t>
        </is>
      </c>
      <c r="B8" s="8" t="n">
        <v>21158.54</v>
      </c>
      <c r="C8" s="8" t="n">
        <v>11626.09</v>
      </c>
      <c r="D8" s="8" t="n">
        <v>17664.2</v>
      </c>
      <c r="E8" s="8" t="n">
        <v>8490.23</v>
      </c>
      <c r="F8" s="11" t="n">
        <v>58939.06</v>
      </c>
    </row>
    <row r="10">
      <c r="A10" s="4" t="inlineStr">
        <is>
          <t>CONVERSIONES</t>
        </is>
      </c>
      <c r="B10" s="5" t="n"/>
      <c r="C10" s="5" t="n"/>
      <c r="D10" s="5" t="n"/>
      <c r="E10" s="5" t="n"/>
      <c r="F10" s="6" t="n"/>
    </row>
    <row r="11">
      <c r="A11" s="3" t="inlineStr">
        <is>
          <t>Producto</t>
        </is>
      </c>
      <c r="B11" s="3" t="inlineStr">
        <is>
          <t>Ene</t>
        </is>
      </c>
      <c r="C11" s="3" t="inlineStr">
        <is>
          <t>Feb</t>
        </is>
      </c>
      <c r="D11" s="3" t="inlineStr">
        <is>
          <t>Mar</t>
        </is>
      </c>
      <c r="E11" s="3" t="inlineStr">
        <is>
          <t>Abr</t>
        </is>
      </c>
      <c r="F11" s="3" t="inlineStr">
        <is>
          <t>Total</t>
        </is>
      </c>
    </row>
    <row r="12">
      <c r="A12" s="15" t="inlineStr">
        <is>
          <t>Autos</t>
        </is>
      </c>
      <c r="B12" s="9" t="n">
        <v>4581</v>
      </c>
      <c r="C12" s="9" t="n">
        <v>3659</v>
      </c>
      <c r="D12" s="9" t="n">
        <v>2938</v>
      </c>
      <c r="E12" s="9" t="n">
        <v>2410</v>
      </c>
      <c r="F12" s="12" t="n">
        <v>13588</v>
      </c>
    </row>
    <row r="13">
      <c r="A13" s="15" t="inlineStr">
        <is>
          <t>Motos</t>
        </is>
      </c>
      <c r="B13" s="9" t="n">
        <v>938</v>
      </c>
      <c r="C13" s="9" t="n">
        <v>909</v>
      </c>
      <c r="D13" s="9" t="n">
        <v>799</v>
      </c>
      <c r="E13" s="9" t="n">
        <v>589</v>
      </c>
      <c r="F13" s="12" t="n">
        <v>3235</v>
      </c>
    </row>
    <row r="14">
      <c r="A14" s="15" t="inlineStr">
        <is>
          <t>Viajes</t>
        </is>
      </c>
      <c r="B14" s="9" t="n">
        <v>98</v>
      </c>
      <c r="C14" s="9" t="n">
        <v>73</v>
      </c>
      <c r="D14" s="9" t="n">
        <v>139</v>
      </c>
      <c r="E14" s="9" t="n">
        <v>101</v>
      </c>
      <c r="F14" s="12" t="n">
        <v>411</v>
      </c>
    </row>
    <row r="15">
      <c r="A15" s="15" t="inlineStr">
        <is>
          <t>Arriendo</t>
        </is>
      </c>
      <c r="B15" s="9" t="n">
        <v>2795</v>
      </c>
      <c r="C15" s="9" t="n">
        <v>2151</v>
      </c>
      <c r="D15" s="9" t="n">
        <v>2128</v>
      </c>
      <c r="E15" s="9" t="n">
        <v>1646</v>
      </c>
      <c r="F15" s="12" t="n">
        <v>8720</v>
      </c>
    </row>
    <row r="17">
      <c r="A17" s="4" t="inlineStr">
        <is>
          <t>CPA (US$ por conversión)</t>
        </is>
      </c>
      <c r="B17" s="5" t="n"/>
      <c r="C17" s="5" t="n"/>
      <c r="D17" s="5" t="n"/>
      <c r="E17" s="5" t="n"/>
      <c r="F17" s="6" t="n"/>
    </row>
    <row r="18">
      <c r="A18" s="3" t="inlineStr">
        <is>
          <t>Producto</t>
        </is>
      </c>
      <c r="B18" s="3" t="inlineStr">
        <is>
          <t>Ene</t>
        </is>
      </c>
      <c r="C18" s="3" t="inlineStr">
        <is>
          <t>Feb</t>
        </is>
      </c>
      <c r="D18" s="3" t="inlineStr">
        <is>
          <t>Mar</t>
        </is>
      </c>
      <c r="E18" s="3" t="inlineStr">
        <is>
          <t>Abr</t>
        </is>
      </c>
      <c r="F18" s="3" t="inlineStr">
        <is>
          <t>Promedio</t>
        </is>
      </c>
    </row>
    <row r="19">
      <c r="A19" s="15" t="inlineStr">
        <is>
          <t>Autos</t>
        </is>
      </c>
      <c r="B19" s="10" t="n">
        <v>2.98</v>
      </c>
      <c r="C19" s="10" t="n">
        <v>4.2</v>
      </c>
      <c r="D19" s="10" t="n">
        <v>4.76</v>
      </c>
      <c r="E19" s="10" t="n">
        <v>4.2</v>
      </c>
      <c r="F19" s="16" t="n">
        <v>4.03</v>
      </c>
    </row>
    <row r="20">
      <c r="A20" s="15" t="inlineStr">
        <is>
          <t>Motos</t>
        </is>
      </c>
      <c r="B20" s="10" t="n">
        <v>8.369999999999999</v>
      </c>
      <c r="C20" s="10" t="n">
        <v>12.45</v>
      </c>
      <c r="D20" s="10" t="n">
        <v>15.7</v>
      </c>
      <c r="E20" s="10" t="n">
        <v>10.65</v>
      </c>
      <c r="F20" s="16" t="n">
        <v>11.79</v>
      </c>
    </row>
    <row r="21">
      <c r="A21" s="15" t="inlineStr">
        <is>
          <t>Viajes</t>
        </is>
      </c>
      <c r="B21" s="10" t="n">
        <v>31.86</v>
      </c>
      <c r="C21" s="10" t="n">
        <v>47.79</v>
      </c>
      <c r="D21" s="10" t="n">
        <v>26.86</v>
      </c>
      <c r="E21" s="10" t="n">
        <v>29.23</v>
      </c>
      <c r="F21" s="16" t="n">
        <v>33.93</v>
      </c>
    </row>
    <row r="22">
      <c r="A22" s="15" t="inlineStr">
        <is>
          <t>Arriendo</t>
        </is>
      </c>
      <c r="B22" s="10" t="n">
        <v>7.57</v>
      </c>
      <c r="C22" s="10" t="n">
        <v>5.4</v>
      </c>
      <c r="D22" s="10" t="n">
        <v>8.300000000000001</v>
      </c>
      <c r="E22" s="10" t="n">
        <v>5.16</v>
      </c>
      <c r="F22" s="16" t="n">
        <v>6.61</v>
      </c>
    </row>
    <row r="24">
      <c r="A24" s="4" t="inlineStr">
        <is>
          <t>VARIACIÓN MES-A-MES (CPA)</t>
        </is>
      </c>
      <c r="B24" s="5" t="n"/>
      <c r="C24" s="5" t="n"/>
      <c r="D24" s="5" t="n"/>
      <c r="E24" s="6" t="n"/>
    </row>
    <row r="25">
      <c r="A25" s="3" t="inlineStr">
        <is>
          <t>Producto</t>
        </is>
      </c>
      <c r="B25" s="3" t="inlineStr">
        <is>
          <t>Ene→Feb</t>
        </is>
      </c>
      <c r="C25" s="3" t="inlineStr">
        <is>
          <t>Feb→Mar</t>
        </is>
      </c>
      <c r="D25" s="3" t="inlineStr">
        <is>
          <t>Mar→Abr</t>
        </is>
      </c>
      <c r="E25" s="3" t="inlineStr">
        <is>
          <t>Total Ene→Abr</t>
        </is>
      </c>
    </row>
    <row r="26">
      <c r="A26" s="15" t="inlineStr">
        <is>
          <t>Autos</t>
        </is>
      </c>
      <c r="B26" s="17" t="n">
        <v>0.407</v>
      </c>
      <c r="C26" s="17" t="n">
        <v>0.135</v>
      </c>
      <c r="D26" s="19" t="n">
        <v>-0.118</v>
      </c>
      <c r="E26" s="17" t="n">
        <v>0.408</v>
      </c>
    </row>
    <row r="27">
      <c r="A27" s="15" t="inlineStr">
        <is>
          <t>Motos</t>
        </is>
      </c>
      <c r="B27" s="17" t="n">
        <v>0.489</v>
      </c>
      <c r="C27" s="17" t="n">
        <v>0.261</v>
      </c>
      <c r="D27" s="19" t="n">
        <v>-0.322</v>
      </c>
      <c r="E27" s="17" t="n">
        <v>0.273</v>
      </c>
    </row>
    <row r="28">
      <c r="A28" s="15" t="inlineStr">
        <is>
          <t>Viajes</t>
        </is>
      </c>
      <c r="B28" s="17" t="n">
        <v>0.5</v>
      </c>
      <c r="C28" s="19" t="n">
        <v>-0.4379999999999999</v>
      </c>
      <c r="D28" s="18" t="n">
        <v>0.08800000000000001</v>
      </c>
      <c r="E28" s="19" t="n">
        <v>-0.083</v>
      </c>
    </row>
    <row r="29">
      <c r="A29" s="15" t="inlineStr">
        <is>
          <t>Arriendo</t>
        </is>
      </c>
      <c r="B29" s="19" t="n">
        <v>-0.286</v>
      </c>
      <c r="C29" s="17" t="n">
        <v>0.536</v>
      </c>
      <c r="D29" s="19" t="n">
        <v>-0.379</v>
      </c>
      <c r="E29" s="19" t="n">
        <v>-0.319</v>
      </c>
    </row>
  </sheetData>
  <mergeCells count="5">
    <mergeCell ref="A10:F10"/>
    <mergeCell ref="A24:E24"/>
    <mergeCell ref="A17:F17"/>
    <mergeCell ref="A3:F3"/>
    <mergeCell ref="A1:Q1"/>
  </mergeCells>
  <pageMargins left="0.75" right="0.75" top="1" bottom="1" header="0.5" footer="0.5"/>
  <drawing xmlns:r="http://schemas.openxmlformats.org/officeDocument/2006/relationships" r:id="rId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19"/>
  <sheetViews>
    <sheetView workbookViewId="0">
      <selection activeCell="A1" sqref="A1"/>
    </sheetView>
  </sheetViews>
  <sheetFormatPr baseColWidth="8" defaultRowHeight="15"/>
  <cols>
    <col width="16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</cols>
  <sheetData>
    <row r="1">
      <c r="A1" s="14" t="inlineStr">
        <is>
          <t>Comparativo Google vs Meta · CPA por producto y mes (US$)</t>
        </is>
      </c>
    </row>
    <row r="3">
      <c r="A3" s="3" t="inlineStr">
        <is>
          <t>Producto</t>
        </is>
      </c>
      <c r="B3" s="3" t="inlineStr">
        <is>
          <t>Plataforma</t>
        </is>
      </c>
      <c r="C3" s="3" t="inlineStr">
        <is>
          <t>Ene</t>
        </is>
      </c>
      <c r="D3" s="3" t="inlineStr">
        <is>
          <t>Feb</t>
        </is>
      </c>
      <c r="E3" s="3" t="inlineStr">
        <is>
          <t>Mar</t>
        </is>
      </c>
      <c r="F3" s="3" t="inlineStr">
        <is>
          <t>Abr</t>
        </is>
      </c>
      <c r="G3" s="3" t="inlineStr">
        <is>
          <t>Promedio</t>
        </is>
      </c>
    </row>
    <row r="4">
      <c r="A4" s="15" t="inlineStr">
        <is>
          <t>Autos</t>
        </is>
      </c>
      <c r="B4" s="20" t="inlineStr">
        <is>
          <t>Google</t>
        </is>
      </c>
      <c r="C4" s="10" t="n">
        <v>4.31</v>
      </c>
      <c r="D4" s="10" t="n">
        <v>4.99</v>
      </c>
      <c r="E4" s="10" t="n">
        <v>4.88</v>
      </c>
      <c r="F4" s="10" t="n">
        <v>5.89</v>
      </c>
      <c r="G4" s="16" t="n">
        <v>5.02</v>
      </c>
    </row>
    <row r="5">
      <c r="A5" s="15" t="inlineStr">
        <is>
          <t>Autos</t>
        </is>
      </c>
      <c r="B5" s="20" t="inlineStr">
        <is>
          <t>Meta</t>
        </is>
      </c>
      <c r="C5" s="10" t="n">
        <v>2.98</v>
      </c>
      <c r="D5" s="10" t="n">
        <v>4.2</v>
      </c>
      <c r="E5" s="10" t="n">
        <v>4.76</v>
      </c>
      <c r="F5" s="10" t="n">
        <v>4.2</v>
      </c>
      <c r="G5" s="16" t="n">
        <v>4.03</v>
      </c>
    </row>
    <row r="6">
      <c r="A6" s="15" t="inlineStr">
        <is>
          <t>Motos</t>
        </is>
      </c>
      <c r="B6" s="20" t="inlineStr">
        <is>
          <t>Google</t>
        </is>
      </c>
      <c r="C6" s="10" t="n">
        <v>6.7</v>
      </c>
      <c r="D6" s="10" t="n">
        <v>10.42</v>
      </c>
      <c r="E6" s="10" t="n">
        <v>10.99</v>
      </c>
      <c r="F6" s="10" t="n">
        <v>13.74</v>
      </c>
      <c r="G6" s="16" t="n">
        <v>10.46</v>
      </c>
    </row>
    <row r="7">
      <c r="A7" s="15" t="inlineStr">
        <is>
          <t>Motos</t>
        </is>
      </c>
      <c r="B7" s="20" t="inlineStr">
        <is>
          <t>Meta</t>
        </is>
      </c>
      <c r="C7" s="10" t="n">
        <v>8.369999999999999</v>
      </c>
      <c r="D7" s="10" t="n">
        <v>12.45</v>
      </c>
      <c r="E7" s="10" t="n">
        <v>15.7</v>
      </c>
      <c r="F7" s="10" t="n">
        <v>10.65</v>
      </c>
      <c r="G7" s="16" t="n">
        <v>11.79</v>
      </c>
    </row>
    <row r="8">
      <c r="A8" s="15" t="inlineStr">
        <is>
          <t>Viajes</t>
        </is>
      </c>
      <c r="B8" s="20" t="inlineStr">
        <is>
          <t>Google</t>
        </is>
      </c>
      <c r="C8" s="10" t="n">
        <v>28.31</v>
      </c>
      <c r="D8" s="10" t="n">
        <v>28.47</v>
      </c>
      <c r="E8" s="10" t="n">
        <v>22.22</v>
      </c>
      <c r="F8" s="10" t="n">
        <v>31.04</v>
      </c>
      <c r="G8" s="16" t="n">
        <v>27.51</v>
      </c>
    </row>
    <row r="9">
      <c r="A9" s="15" t="inlineStr">
        <is>
          <t>Viajes</t>
        </is>
      </c>
      <c r="B9" s="20" t="inlineStr">
        <is>
          <t>Meta</t>
        </is>
      </c>
      <c r="C9" s="10" t="n">
        <v>31.86</v>
      </c>
      <c r="D9" s="10" t="n">
        <v>47.79</v>
      </c>
      <c r="E9" s="10" t="n">
        <v>26.86</v>
      </c>
      <c r="F9" s="10" t="n">
        <v>29.23</v>
      </c>
      <c r="G9" s="16" t="n">
        <v>33.93</v>
      </c>
    </row>
    <row r="10">
      <c r="A10" s="15" t="inlineStr">
        <is>
          <t>Arriendo</t>
        </is>
      </c>
      <c r="B10" s="20" t="inlineStr">
        <is>
          <t>Google</t>
        </is>
      </c>
      <c r="C10" s="10" t="n">
        <v>14.11</v>
      </c>
      <c r="D10" s="10" t="n">
        <v>6.38</v>
      </c>
      <c r="E10" s="10" t="n">
        <v>12.14</v>
      </c>
      <c r="F10" s="10" t="n">
        <v>31.88</v>
      </c>
      <c r="G10" s="16" t="n">
        <v>16.13</v>
      </c>
    </row>
    <row r="11">
      <c r="A11" s="15" t="inlineStr">
        <is>
          <t>Arriendo</t>
        </is>
      </c>
      <c r="B11" s="20" t="inlineStr">
        <is>
          <t>Meta</t>
        </is>
      </c>
      <c r="C11" s="10" t="n">
        <v>7.57</v>
      </c>
      <c r="D11" s="10" t="n">
        <v>5.4</v>
      </c>
      <c r="E11" s="10" t="n">
        <v>8.300000000000001</v>
      </c>
      <c r="F11" s="10" t="n">
        <v>5.16</v>
      </c>
      <c r="G11" s="16" t="n">
        <v>6.61</v>
      </c>
    </row>
    <row r="14">
      <c r="A14" s="4" t="inlineStr">
        <is>
          <t>Inversión total Ene–Abr (US$) por plataforma</t>
        </is>
      </c>
      <c r="B14" s="5" t="n"/>
      <c r="C14" s="5" t="n"/>
      <c r="D14" s="5" t="n"/>
      <c r="E14" s="6" t="n"/>
    </row>
    <row r="15">
      <c r="A15" s="3" t="inlineStr">
        <is>
          <t>Producto</t>
        </is>
      </c>
      <c r="B15" s="3" t="inlineStr">
        <is>
          <t>Google</t>
        </is>
      </c>
      <c r="C15" s="3" t="inlineStr">
        <is>
          <t>Meta</t>
        </is>
      </c>
      <c r="D15" s="3" t="inlineStr">
        <is>
          <t>Total</t>
        </is>
      </c>
      <c r="E15" s="3" t="inlineStr">
        <is>
          <t>% Google</t>
        </is>
      </c>
    </row>
    <row r="16">
      <c r="A16" s="15" t="inlineStr">
        <is>
          <t>Autos</t>
        </is>
      </c>
      <c r="B16" s="8" t="n">
        <v>109423</v>
      </c>
      <c r="C16" s="8" t="n">
        <v>53121</v>
      </c>
      <c r="D16" s="11" t="n">
        <v>162544</v>
      </c>
      <c r="E16" s="21" t="n">
        <v>0.6731894475206339</v>
      </c>
    </row>
    <row r="17">
      <c r="A17" s="15" t="inlineStr">
        <is>
          <t>Motos</t>
        </is>
      </c>
      <c r="B17" s="8" t="n">
        <v>61022</v>
      </c>
      <c r="C17" s="8" t="n">
        <v>37986</v>
      </c>
      <c r="D17" s="11" t="n">
        <v>99008</v>
      </c>
      <c r="E17" s="21" t="n">
        <v>0.6163353548881679</v>
      </c>
    </row>
    <row r="18">
      <c r="A18" s="15" t="inlineStr">
        <is>
          <t>Viajes</t>
        </is>
      </c>
      <c r="B18" s="8" t="n">
        <v>27204</v>
      </c>
      <c r="C18" s="8" t="n">
        <v>13296</v>
      </c>
      <c r="D18" s="11" t="n">
        <v>40500</v>
      </c>
      <c r="E18" s="21" t="n">
        <v>0.6717014600917394</v>
      </c>
    </row>
    <row r="19">
      <c r="A19" s="15" t="inlineStr">
        <is>
          <t>Arriendo</t>
        </is>
      </c>
      <c r="B19" s="8" t="n">
        <v>58269</v>
      </c>
      <c r="C19" s="8" t="n">
        <v>58939</v>
      </c>
      <c r="D19" s="11" t="n">
        <v>117209</v>
      </c>
      <c r="E19" s="21" t="n">
        <v>0.497143552362917</v>
      </c>
    </row>
  </sheetData>
  <mergeCells count="2">
    <mergeCell ref="A1:M1"/>
    <mergeCell ref="A14:E14"/>
  </mergeCells>
  <pageMargins left="0.75" right="0.75" top="1" bottom="1" header="0.5" footer="0.5"/>
  <drawing xmlns:r="http://schemas.openxmlformats.org/officeDocument/2006/relationships" r:id="rId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N59"/>
  <sheetViews>
    <sheetView workbookViewId="0">
      <selection activeCell="A1" sqref="A1"/>
    </sheetView>
  </sheetViews>
  <sheetFormatPr baseColWidth="8" defaultRowHeight="15"/>
  <cols>
    <col width="14" customWidth="1" min="1" max="1"/>
    <col width="12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>
      <c r="A1" s="14" t="inlineStr">
        <is>
          <t>CPL de Negocio · Spend (CSV plataforma) ÷ Leads SF (Sheet BI / CRM)</t>
        </is>
      </c>
    </row>
    <row r="2" ht="30" customHeight="1">
      <c r="A2" s="22" t="inlineStr">
        <is>
          <t>Conversiones plataforma (Google/Meta) NO siempre = lead real en SF. El CPL Negocio cruza inversión real con leads que llegaron al CRM por el canal correspondiente.</t>
        </is>
      </c>
    </row>
    <row r="4" ht="32" customHeight="1">
      <c r="A4" s="3" t="inlineStr">
        <is>
          <t>Producto</t>
        </is>
      </c>
      <c r="B4" s="3" t="inlineStr">
        <is>
          <t>Plataforma</t>
        </is>
      </c>
      <c r="C4" s="3" t="inlineStr">
        <is>
          <t>Mes</t>
        </is>
      </c>
      <c r="D4" s="3" t="inlineStr">
        <is>
          <t>Spend (US$)</t>
        </is>
      </c>
      <c r="E4" s="3" t="inlineStr">
        <is>
          <t>Conv. plataforma</t>
        </is>
      </c>
      <c r="F4" s="3" t="inlineStr">
        <is>
          <t>CPA plataforma</t>
        </is>
      </c>
      <c r="G4" s="3" t="inlineStr">
        <is>
          <t>Leads SF (CRM)</t>
        </is>
      </c>
      <c r="H4" s="3" t="inlineStr">
        <is>
          <t>CPL Negocio</t>
        </is>
      </c>
      <c r="I4" s="3" t="inlineStr">
        <is>
          <t>Gap CPL−CPA</t>
        </is>
      </c>
    </row>
    <row r="5">
      <c r="A5" s="15" t="inlineStr">
        <is>
          <t>Autos</t>
        </is>
      </c>
      <c r="B5" s="20" t="inlineStr">
        <is>
          <t>Google</t>
        </is>
      </c>
      <c r="C5" s="23" t="inlineStr">
        <is>
          <t>Ene</t>
        </is>
      </c>
      <c r="D5" s="8" t="n">
        <v>26333.21</v>
      </c>
      <c r="E5" s="9" t="n">
        <v>6106</v>
      </c>
      <c r="F5" s="10" t="n">
        <v>4.31</v>
      </c>
      <c r="G5" s="9" t="n">
        <v>3359</v>
      </c>
      <c r="H5" s="10" t="n">
        <v>7.84</v>
      </c>
      <c r="I5" s="10" t="n">
        <v>3.53</v>
      </c>
    </row>
    <row r="6">
      <c r="A6" s="15" t="inlineStr">
        <is>
          <t>Autos</t>
        </is>
      </c>
      <c r="B6" s="20" t="inlineStr">
        <is>
          <t>Google</t>
        </is>
      </c>
      <c r="C6" s="23" t="inlineStr">
        <is>
          <t>Feb</t>
        </is>
      </c>
      <c r="D6" s="8" t="n">
        <v>28539.28</v>
      </c>
      <c r="E6" s="9" t="n">
        <v>5724</v>
      </c>
      <c r="F6" s="10" t="n">
        <v>4.99</v>
      </c>
      <c r="G6" s="9" t="n">
        <v>3332</v>
      </c>
      <c r="H6" s="10" t="n">
        <v>8.57</v>
      </c>
      <c r="I6" s="10" t="n">
        <v>3.58</v>
      </c>
    </row>
    <row r="7">
      <c r="A7" s="15" t="inlineStr">
        <is>
          <t>Autos</t>
        </is>
      </c>
      <c r="B7" s="20" t="inlineStr">
        <is>
          <t>Google</t>
        </is>
      </c>
      <c r="C7" s="23" t="inlineStr">
        <is>
          <t>Mar</t>
        </is>
      </c>
      <c r="D7" s="8" t="n">
        <v>26308.56</v>
      </c>
      <c r="E7" s="9" t="n">
        <v>5396</v>
      </c>
      <c r="F7" s="10" t="n">
        <v>4.88</v>
      </c>
      <c r="G7" s="9" t="n">
        <v>3097</v>
      </c>
      <c r="H7" s="10" t="n">
        <v>8.49</v>
      </c>
      <c r="I7" s="10" t="n">
        <v>3.62</v>
      </c>
    </row>
    <row r="8">
      <c r="A8" s="15" t="inlineStr">
        <is>
          <t>Autos</t>
        </is>
      </c>
      <c r="B8" s="20" t="inlineStr">
        <is>
          <t>Google</t>
        </is>
      </c>
      <c r="C8" s="23" t="inlineStr">
        <is>
          <t>Abr</t>
        </is>
      </c>
      <c r="D8" s="8" t="n">
        <v>28241.97</v>
      </c>
      <c r="E8" s="9" t="n">
        <v>4798</v>
      </c>
      <c r="F8" s="10" t="n">
        <v>5.89</v>
      </c>
      <c r="G8" s="9" t="n">
        <v>2801</v>
      </c>
      <c r="H8" s="10" t="n">
        <v>10.08</v>
      </c>
      <c r="I8" s="10" t="n">
        <v>4.2</v>
      </c>
    </row>
    <row r="9">
      <c r="A9" s="15" t="inlineStr">
        <is>
          <t>Autos</t>
        </is>
      </c>
      <c r="B9" s="20" t="inlineStr">
        <is>
          <t>Meta</t>
        </is>
      </c>
      <c r="C9" s="23" t="inlineStr">
        <is>
          <t>Ene</t>
        </is>
      </c>
      <c r="D9" s="8" t="n">
        <v>13662.32</v>
      </c>
      <c r="E9" s="9" t="n">
        <v>4581</v>
      </c>
      <c r="F9" s="10" t="n">
        <v>2.98</v>
      </c>
      <c r="G9" s="9" t="n">
        <v>2708</v>
      </c>
      <c r="H9" s="10" t="n">
        <v>5.05</v>
      </c>
      <c r="I9" s="10" t="n">
        <v>2.06</v>
      </c>
    </row>
    <row r="10">
      <c r="A10" s="15" t="inlineStr">
        <is>
          <t>Autos</t>
        </is>
      </c>
      <c r="B10" s="20" t="inlineStr">
        <is>
          <t>Meta</t>
        </is>
      </c>
      <c r="C10" s="23" t="inlineStr">
        <is>
          <t>Feb</t>
        </is>
      </c>
      <c r="D10" s="8" t="n">
        <v>15350.26</v>
      </c>
      <c r="E10" s="9" t="n">
        <v>3659</v>
      </c>
      <c r="F10" s="10" t="n">
        <v>4.2</v>
      </c>
      <c r="G10" s="9" t="n">
        <v>2162</v>
      </c>
      <c r="H10" s="10" t="n">
        <v>7.1</v>
      </c>
      <c r="I10" s="10" t="n">
        <v>2.9</v>
      </c>
    </row>
    <row r="11">
      <c r="A11" s="15" t="inlineStr">
        <is>
          <t>Autos</t>
        </is>
      </c>
      <c r="B11" s="20" t="inlineStr">
        <is>
          <t>Meta</t>
        </is>
      </c>
      <c r="C11" s="23" t="inlineStr">
        <is>
          <t>Mar</t>
        </is>
      </c>
      <c r="D11" s="8" t="n">
        <v>13988.08</v>
      </c>
      <c r="E11" s="9" t="n">
        <v>2938</v>
      </c>
      <c r="F11" s="10" t="n">
        <v>4.76</v>
      </c>
      <c r="G11" s="9" t="n">
        <v>1590</v>
      </c>
      <c r="H11" s="10" t="n">
        <v>8.800000000000001</v>
      </c>
      <c r="I11" s="10" t="n">
        <v>4.04</v>
      </c>
    </row>
    <row r="12">
      <c r="A12" s="15" t="inlineStr">
        <is>
          <t>Autos</t>
        </is>
      </c>
      <c r="B12" s="20" t="inlineStr">
        <is>
          <t>Meta</t>
        </is>
      </c>
      <c r="C12" s="23" t="inlineStr">
        <is>
          <t>Abr</t>
        </is>
      </c>
      <c r="D12" s="8" t="n">
        <v>10120.49</v>
      </c>
      <c r="E12" s="9" t="n">
        <v>2410</v>
      </c>
      <c r="F12" s="10" t="n">
        <v>4.2</v>
      </c>
      <c r="G12" s="9" t="n">
        <v>1598</v>
      </c>
      <c r="H12" s="10" t="n">
        <v>6.33</v>
      </c>
      <c r="I12" s="10" t="n">
        <v>2.13</v>
      </c>
    </row>
    <row r="13">
      <c r="A13" s="15" t="inlineStr">
        <is>
          <t>Motos</t>
        </is>
      </c>
      <c r="B13" s="20" t="inlineStr">
        <is>
          <t>Google</t>
        </is>
      </c>
      <c r="C13" s="23" t="inlineStr">
        <is>
          <t>Ene</t>
        </is>
      </c>
      <c r="D13" s="8" t="n">
        <v>9166.530000000001</v>
      </c>
      <c r="E13" s="9" t="n">
        <v>1368</v>
      </c>
      <c r="F13" s="10" t="n">
        <v>6.7</v>
      </c>
      <c r="G13" s="9" t="n">
        <v>3264</v>
      </c>
      <c r="H13" s="10" t="n">
        <v>2.81</v>
      </c>
      <c r="I13" s="24" t="n">
        <v>-3.89</v>
      </c>
    </row>
    <row r="14">
      <c r="A14" s="15" t="inlineStr">
        <is>
          <t>Motos</t>
        </is>
      </c>
      <c r="B14" s="20" t="inlineStr">
        <is>
          <t>Google</t>
        </is>
      </c>
      <c r="C14" s="23" t="inlineStr">
        <is>
          <t>Feb</t>
        </is>
      </c>
      <c r="D14" s="8" t="n">
        <v>16853.38</v>
      </c>
      <c r="E14" s="9" t="n">
        <v>1617</v>
      </c>
      <c r="F14" s="10" t="n">
        <v>10.42</v>
      </c>
      <c r="G14" s="9" t="n">
        <v>3841</v>
      </c>
      <c r="H14" s="10" t="n">
        <v>4.39</v>
      </c>
      <c r="I14" s="24" t="n">
        <v>-6.04</v>
      </c>
    </row>
    <row r="15">
      <c r="A15" s="15" t="inlineStr">
        <is>
          <t>Motos</t>
        </is>
      </c>
      <c r="B15" s="20" t="inlineStr">
        <is>
          <t>Google</t>
        </is>
      </c>
      <c r="C15" s="23" t="inlineStr">
        <is>
          <t>Mar</t>
        </is>
      </c>
      <c r="D15" s="8" t="n">
        <v>17494.42</v>
      </c>
      <c r="E15" s="9" t="n">
        <v>1592</v>
      </c>
      <c r="F15" s="10" t="n">
        <v>10.99</v>
      </c>
      <c r="G15" s="9" t="n">
        <v>4510</v>
      </c>
      <c r="H15" s="10" t="n">
        <v>3.88</v>
      </c>
      <c r="I15" s="24" t="n">
        <v>-7.11</v>
      </c>
    </row>
    <row r="16">
      <c r="A16" s="15" t="inlineStr">
        <is>
          <t>Motos</t>
        </is>
      </c>
      <c r="B16" s="20" t="inlineStr">
        <is>
          <t>Google</t>
        </is>
      </c>
      <c r="C16" s="23" t="inlineStr">
        <is>
          <t>Abr</t>
        </is>
      </c>
      <c r="D16" s="8" t="n">
        <v>17507.77</v>
      </c>
      <c r="E16" s="9" t="n">
        <v>1274</v>
      </c>
      <c r="F16" s="10" t="n">
        <v>13.74</v>
      </c>
      <c r="G16" s="9" t="n">
        <v>3724</v>
      </c>
      <c r="H16" s="10" t="n">
        <v>4.7</v>
      </c>
      <c r="I16" s="24" t="n">
        <v>-9.039999999999999</v>
      </c>
    </row>
    <row r="17">
      <c r="A17" s="15" t="inlineStr">
        <is>
          <t>Motos</t>
        </is>
      </c>
      <c r="B17" s="20" t="inlineStr">
        <is>
          <t>Meta</t>
        </is>
      </c>
      <c r="C17" s="23" t="inlineStr">
        <is>
          <t>Ene</t>
        </is>
      </c>
      <c r="D17" s="8" t="n">
        <v>7846.52</v>
      </c>
      <c r="E17" s="9" t="n">
        <v>938</v>
      </c>
      <c r="F17" s="10" t="n">
        <v>8.369999999999999</v>
      </c>
      <c r="G17" s="9" t="n">
        <v>7315</v>
      </c>
      <c r="H17" s="10" t="n">
        <v>1.07</v>
      </c>
      <c r="I17" s="24" t="n">
        <v>-7.29</v>
      </c>
    </row>
    <row r="18">
      <c r="A18" s="15" t="inlineStr">
        <is>
          <t>Motos</t>
        </is>
      </c>
      <c r="B18" s="20" t="inlineStr">
        <is>
          <t>Meta</t>
        </is>
      </c>
      <c r="C18" s="23" t="inlineStr">
        <is>
          <t>Feb</t>
        </is>
      </c>
      <c r="D18" s="8" t="n">
        <v>11319.71</v>
      </c>
      <c r="E18" s="9" t="n">
        <v>909</v>
      </c>
      <c r="F18" s="10" t="n">
        <v>12.45</v>
      </c>
      <c r="G18" s="9" t="n">
        <v>4426</v>
      </c>
      <c r="H18" s="10" t="n">
        <v>2.56</v>
      </c>
      <c r="I18" s="24" t="n">
        <v>-9.9</v>
      </c>
    </row>
    <row r="19">
      <c r="A19" s="15" t="inlineStr">
        <is>
          <t>Motos</t>
        </is>
      </c>
      <c r="B19" s="20" t="inlineStr">
        <is>
          <t>Meta</t>
        </is>
      </c>
      <c r="C19" s="23" t="inlineStr">
        <is>
          <t>Mar</t>
        </is>
      </c>
      <c r="D19" s="8" t="n">
        <v>12547.71</v>
      </c>
      <c r="E19" s="9" t="n">
        <v>799</v>
      </c>
      <c r="F19" s="10" t="n">
        <v>15.7</v>
      </c>
      <c r="G19" s="9" t="n">
        <v>2449</v>
      </c>
      <c r="H19" s="10" t="n">
        <v>5.12</v>
      </c>
      <c r="I19" s="24" t="n">
        <v>-10.58</v>
      </c>
    </row>
    <row r="20">
      <c r="A20" s="15" t="inlineStr">
        <is>
          <t>Motos</t>
        </is>
      </c>
      <c r="B20" s="20" t="inlineStr">
        <is>
          <t>Meta</t>
        </is>
      </c>
      <c r="C20" s="23" t="inlineStr">
        <is>
          <t>Abr</t>
        </is>
      </c>
      <c r="D20" s="8" t="n">
        <v>6271.91</v>
      </c>
      <c r="E20" s="9" t="n">
        <v>589</v>
      </c>
      <c r="F20" s="10" t="n">
        <v>10.65</v>
      </c>
      <c r="G20" s="9" t="n">
        <v>2211</v>
      </c>
      <c r="H20" s="10" t="n">
        <v>2.84</v>
      </c>
      <c r="I20" s="24" t="n">
        <v>-7.81</v>
      </c>
    </row>
    <row r="21">
      <c r="A21" s="15" t="inlineStr">
        <is>
          <t>Viajes</t>
        </is>
      </c>
      <c r="B21" s="20" t="inlineStr">
        <is>
          <t>Google</t>
        </is>
      </c>
      <c r="C21" s="23" t="inlineStr">
        <is>
          <t>Ene</t>
        </is>
      </c>
      <c r="D21" s="8" t="n">
        <v>6000.8</v>
      </c>
      <c r="E21" s="9" t="n">
        <v>212</v>
      </c>
      <c r="F21" s="10" t="n">
        <v>28.31</v>
      </c>
      <c r="G21" s="9" t="n">
        <v>171</v>
      </c>
      <c r="H21" s="10" t="n">
        <v>35.09</v>
      </c>
      <c r="I21" s="25" t="n">
        <v>6.78</v>
      </c>
    </row>
    <row r="22">
      <c r="A22" s="15" t="inlineStr">
        <is>
          <t>Viajes</t>
        </is>
      </c>
      <c r="B22" s="20" t="inlineStr">
        <is>
          <t>Google</t>
        </is>
      </c>
      <c r="C22" s="23" t="inlineStr">
        <is>
          <t>Feb</t>
        </is>
      </c>
      <c r="D22" s="8" t="n">
        <v>6472.04</v>
      </c>
      <c r="E22" s="9" t="n">
        <v>227</v>
      </c>
      <c r="F22" s="10" t="n">
        <v>28.47</v>
      </c>
      <c r="G22" s="9" t="n">
        <v>191</v>
      </c>
      <c r="H22" s="10" t="n">
        <v>33.89</v>
      </c>
      <c r="I22" s="25" t="n">
        <v>5.42</v>
      </c>
    </row>
    <row r="23">
      <c r="A23" s="15" t="inlineStr">
        <is>
          <t>Viajes</t>
        </is>
      </c>
      <c r="B23" s="20" t="inlineStr">
        <is>
          <t>Google</t>
        </is>
      </c>
      <c r="C23" s="23" t="inlineStr">
        <is>
          <t>Mar</t>
        </is>
      </c>
      <c r="D23" s="8" t="n">
        <v>6887.56</v>
      </c>
      <c r="E23" s="9" t="n">
        <v>310</v>
      </c>
      <c r="F23" s="10" t="n">
        <v>22.22</v>
      </c>
      <c r="G23" s="9" t="n">
        <v>247</v>
      </c>
      <c r="H23" s="10" t="n">
        <v>27.88</v>
      </c>
      <c r="I23" s="25" t="n">
        <v>5.66</v>
      </c>
    </row>
    <row r="24">
      <c r="A24" s="15" t="inlineStr">
        <is>
          <t>Viajes</t>
        </is>
      </c>
      <c r="B24" s="20" t="inlineStr">
        <is>
          <t>Google</t>
        </is>
      </c>
      <c r="C24" s="23" t="inlineStr">
        <is>
          <t>Abr</t>
        </is>
      </c>
      <c r="D24" s="8" t="n">
        <v>7843.18</v>
      </c>
      <c r="E24" s="9" t="n">
        <v>253</v>
      </c>
      <c r="F24" s="10" t="n">
        <v>31.04</v>
      </c>
      <c r="G24" s="9" t="n">
        <v>199</v>
      </c>
      <c r="H24" s="10" t="n">
        <v>39.41</v>
      </c>
      <c r="I24" s="25" t="n">
        <v>8.369999999999999</v>
      </c>
    </row>
    <row r="25">
      <c r="A25" s="15" t="inlineStr">
        <is>
          <t>Viajes</t>
        </is>
      </c>
      <c r="B25" s="20" t="inlineStr">
        <is>
          <t>Meta</t>
        </is>
      </c>
      <c r="C25" s="23" t="inlineStr">
        <is>
          <t>Ene</t>
        </is>
      </c>
      <c r="D25" s="8" t="n">
        <v>3122.5</v>
      </c>
      <c r="E25" s="9" t="n">
        <v>98</v>
      </c>
      <c r="F25" s="10" t="n">
        <v>31.86</v>
      </c>
      <c r="G25" s="9" t="n">
        <v>36</v>
      </c>
      <c r="H25" s="10" t="n">
        <v>86.73999999999999</v>
      </c>
      <c r="I25" s="25" t="n">
        <v>54.87</v>
      </c>
    </row>
    <row r="26">
      <c r="A26" s="15" t="inlineStr">
        <is>
          <t>Viajes</t>
        </is>
      </c>
      <c r="B26" s="20" t="inlineStr">
        <is>
          <t>Meta</t>
        </is>
      </c>
      <c r="C26" s="23" t="inlineStr">
        <is>
          <t>Feb</t>
        </is>
      </c>
      <c r="D26" s="8" t="n">
        <v>3488.42</v>
      </c>
      <c r="E26" s="9" t="n">
        <v>73</v>
      </c>
      <c r="F26" s="10" t="n">
        <v>47.79</v>
      </c>
      <c r="G26" s="9" t="n">
        <v>24</v>
      </c>
      <c r="H26" s="10" t="n">
        <v>145.35</v>
      </c>
      <c r="I26" s="25" t="n">
        <v>97.56</v>
      </c>
    </row>
    <row r="27">
      <c r="A27" s="15" t="inlineStr">
        <is>
          <t>Viajes</t>
        </is>
      </c>
      <c r="B27" s="20" t="inlineStr">
        <is>
          <t>Meta</t>
        </is>
      </c>
      <c r="C27" s="23" t="inlineStr">
        <is>
          <t>Mar</t>
        </is>
      </c>
      <c r="D27" s="8" t="n">
        <v>3733.25</v>
      </c>
      <c r="E27" s="9" t="n">
        <v>139</v>
      </c>
      <c r="F27" s="10" t="n">
        <v>26.86</v>
      </c>
      <c r="G27" s="9" t="n">
        <v>54</v>
      </c>
      <c r="H27" s="10" t="n">
        <v>69.13</v>
      </c>
      <c r="I27" s="25" t="n">
        <v>42.28</v>
      </c>
    </row>
    <row r="28">
      <c r="A28" s="15" t="inlineStr">
        <is>
          <t>Viajes</t>
        </is>
      </c>
      <c r="B28" s="20" t="inlineStr">
        <is>
          <t>Meta</t>
        </is>
      </c>
      <c r="C28" s="23" t="inlineStr">
        <is>
          <t>Abr</t>
        </is>
      </c>
      <c r="D28" s="8" t="n">
        <v>2951.76</v>
      </c>
      <c r="E28" s="9" t="n">
        <v>101</v>
      </c>
      <c r="F28" s="10" t="n">
        <v>29.23</v>
      </c>
      <c r="G28" s="9" t="n">
        <v>21</v>
      </c>
      <c r="H28" s="10" t="n">
        <v>140.56</v>
      </c>
      <c r="I28" s="25" t="n">
        <v>111.33</v>
      </c>
    </row>
    <row r="29">
      <c r="A29" s="15" t="inlineStr">
        <is>
          <t>Arriendo</t>
        </is>
      </c>
      <c r="B29" s="20" t="inlineStr">
        <is>
          <t>Google</t>
        </is>
      </c>
      <c r="C29" s="23" t="inlineStr">
        <is>
          <t>Ene</t>
        </is>
      </c>
      <c r="D29" s="8" t="n">
        <v>14612.92</v>
      </c>
      <c r="E29" s="9" t="n">
        <v>1036</v>
      </c>
      <c r="F29" s="10" t="n">
        <v>14.11</v>
      </c>
      <c r="G29" s="9" t="n">
        <v>3201</v>
      </c>
      <c r="H29" s="10" t="n">
        <v>4.57</v>
      </c>
      <c r="I29" s="24" t="n">
        <v>-9.539999999999999</v>
      </c>
    </row>
    <row r="30">
      <c r="A30" s="15" t="inlineStr">
        <is>
          <t>Arriendo</t>
        </is>
      </c>
      <c r="B30" s="20" t="inlineStr">
        <is>
          <t>Google</t>
        </is>
      </c>
      <c r="C30" s="23" t="inlineStr">
        <is>
          <t>Feb</t>
        </is>
      </c>
      <c r="D30" s="8" t="n">
        <v>10099.5</v>
      </c>
      <c r="E30" s="9" t="n">
        <v>1583</v>
      </c>
      <c r="F30" s="10" t="n">
        <v>6.38</v>
      </c>
      <c r="G30" s="9" t="n">
        <v>4134</v>
      </c>
      <c r="H30" s="10" t="n">
        <v>2.44</v>
      </c>
      <c r="I30" s="24" t="n">
        <v>-3.94</v>
      </c>
    </row>
    <row r="31">
      <c r="A31" s="15" t="inlineStr">
        <is>
          <t>Arriendo</t>
        </is>
      </c>
      <c r="B31" s="20" t="inlineStr">
        <is>
          <t>Google</t>
        </is>
      </c>
      <c r="C31" s="23" t="inlineStr">
        <is>
          <t>Mar</t>
        </is>
      </c>
      <c r="D31" s="8" t="n">
        <v>13803.48</v>
      </c>
      <c r="E31" s="9" t="n">
        <v>1137</v>
      </c>
      <c r="F31" s="10" t="n">
        <v>12.14</v>
      </c>
      <c r="G31" s="9" t="n">
        <v>2758</v>
      </c>
      <c r="H31" s="10" t="n">
        <v>5</v>
      </c>
      <c r="I31" s="24" t="n">
        <v>-7.14</v>
      </c>
    </row>
    <row r="32">
      <c r="A32" s="15" t="inlineStr">
        <is>
          <t>Arriendo</t>
        </is>
      </c>
      <c r="B32" s="20" t="inlineStr">
        <is>
          <t>Google</t>
        </is>
      </c>
      <c r="C32" s="23" t="inlineStr">
        <is>
          <t>Abr</t>
        </is>
      </c>
      <c r="D32" s="8" t="n">
        <v>19753.56</v>
      </c>
      <c r="E32" s="9" t="n">
        <v>620</v>
      </c>
      <c r="F32" s="10" t="n">
        <v>31.88</v>
      </c>
      <c r="G32" s="9" t="n">
        <v>1379</v>
      </c>
      <c r="H32" s="10" t="n">
        <v>14.32</v>
      </c>
      <c r="I32" s="24" t="n">
        <v>-17.56</v>
      </c>
    </row>
    <row r="33">
      <c r="A33" s="15" t="inlineStr">
        <is>
          <t>Arriendo</t>
        </is>
      </c>
      <c r="B33" s="20" t="inlineStr">
        <is>
          <t>Meta</t>
        </is>
      </c>
      <c r="C33" s="23" t="inlineStr">
        <is>
          <t>Ene</t>
        </is>
      </c>
      <c r="D33" s="8" t="n">
        <v>21158.54</v>
      </c>
      <c r="E33" s="9" t="n">
        <v>2795</v>
      </c>
      <c r="F33" s="10" t="n">
        <v>7.57</v>
      </c>
      <c r="G33" s="9" t="n">
        <v>725</v>
      </c>
      <c r="H33" s="10" t="n">
        <v>29.18</v>
      </c>
      <c r="I33" s="25" t="n">
        <v>21.61</v>
      </c>
    </row>
    <row r="34">
      <c r="A34" s="15" t="inlineStr">
        <is>
          <t>Arriendo</t>
        </is>
      </c>
      <c r="B34" s="20" t="inlineStr">
        <is>
          <t>Meta</t>
        </is>
      </c>
      <c r="C34" s="23" t="inlineStr">
        <is>
          <t>Feb</t>
        </is>
      </c>
      <c r="D34" s="8" t="n">
        <v>11626.09</v>
      </c>
      <c r="E34" s="9" t="n">
        <v>2151</v>
      </c>
      <c r="F34" s="10" t="n">
        <v>5.4</v>
      </c>
      <c r="G34" s="9" t="n">
        <v>811</v>
      </c>
      <c r="H34" s="10" t="n">
        <v>14.34</v>
      </c>
      <c r="I34" s="25" t="n">
        <v>8.93</v>
      </c>
    </row>
    <row r="35">
      <c r="A35" s="15" t="inlineStr">
        <is>
          <t>Arriendo</t>
        </is>
      </c>
      <c r="B35" s="20" t="inlineStr">
        <is>
          <t>Meta</t>
        </is>
      </c>
      <c r="C35" s="23" t="inlineStr">
        <is>
          <t>Mar</t>
        </is>
      </c>
      <c r="D35" s="8" t="n">
        <v>17664.2</v>
      </c>
      <c r="E35" s="9" t="n">
        <v>2128</v>
      </c>
      <c r="F35" s="10" t="n">
        <v>8.300000000000001</v>
      </c>
      <c r="G35" s="9" t="n">
        <v>360</v>
      </c>
      <c r="H35" s="10" t="n">
        <v>49.07</v>
      </c>
      <c r="I35" s="25" t="n">
        <v>40.77</v>
      </c>
    </row>
    <row r="36">
      <c r="A36" s="15" t="inlineStr">
        <is>
          <t>Arriendo</t>
        </is>
      </c>
      <c r="B36" s="20" t="inlineStr">
        <is>
          <t>Meta</t>
        </is>
      </c>
      <c r="C36" s="23" t="inlineStr">
        <is>
          <t>Abr</t>
        </is>
      </c>
      <c r="D36" s="8" t="n">
        <v>8490.23</v>
      </c>
      <c r="E36" s="9" t="n">
        <v>1646</v>
      </c>
      <c r="F36" s="10" t="n">
        <v>5.16</v>
      </c>
      <c r="G36" s="9" t="n">
        <v>36</v>
      </c>
      <c r="H36" s="10" t="n">
        <v>235.84</v>
      </c>
      <c r="I36" s="25" t="n">
        <v>230.68</v>
      </c>
    </row>
    <row r="39">
      <c r="A39" s="4" t="inlineStr">
        <is>
          <t>RESUMEN TOTAL Ene–Abr (Inversión total / Leads SF / CPL Negocio)</t>
        </is>
      </c>
      <c r="B39" s="5" t="n"/>
      <c r="C39" s="5" t="n"/>
      <c r="D39" s="5" t="n"/>
      <c r="E39" s="5" t="n"/>
      <c r="F39" s="5" t="n"/>
      <c r="G39" s="5" t="n"/>
      <c r="H39" s="5" t="n"/>
      <c r="I39" s="6" t="n"/>
    </row>
    <row r="40" ht="32" customHeight="1">
      <c r="A40" s="3" t="inlineStr">
        <is>
          <t>Producto</t>
        </is>
      </c>
      <c r="B40" s="3" t="inlineStr">
        <is>
          <t>Plataforma</t>
        </is>
      </c>
      <c r="C40" s="3" t="inlineStr">
        <is>
          <t>Inversión</t>
        </is>
      </c>
      <c r="D40" s="3" t="inlineStr">
        <is>
          <t>Leads SF</t>
        </is>
      </c>
      <c r="E40" s="3" t="inlineStr">
        <is>
          <t>CPL Negocio</t>
        </is>
      </c>
      <c r="F40" s="3" t="inlineStr">
        <is>
          <t>Conv. plataforma</t>
        </is>
      </c>
      <c r="G40" s="3" t="inlineStr">
        <is>
          <t>CPA plataforma</t>
        </is>
      </c>
      <c r="H40" s="3" t="inlineStr">
        <is>
          <t>Δ CPL vs CPA</t>
        </is>
      </c>
      <c r="I40" s="3" t="inlineStr">
        <is>
          <t>% leads SF / conv plat.</t>
        </is>
      </c>
    </row>
    <row r="41">
      <c r="A41" s="15" t="inlineStr">
        <is>
          <t>Autos</t>
        </is>
      </c>
      <c r="B41" s="20" t="inlineStr">
        <is>
          <t>Google</t>
        </is>
      </c>
      <c r="C41" s="11" t="n">
        <v>109423</v>
      </c>
      <c r="D41" s="12" t="n">
        <v>12589</v>
      </c>
      <c r="E41" s="16" t="n">
        <v>8.69</v>
      </c>
      <c r="F41" s="9" t="n">
        <v>22023</v>
      </c>
      <c r="G41" s="10" t="n">
        <v>4.97</v>
      </c>
      <c r="H41" s="10" t="n">
        <v>3.72</v>
      </c>
      <c r="I41" s="21" t="n">
        <v>0.5716190181266207</v>
      </c>
    </row>
    <row r="42">
      <c r="A42" s="15" t="inlineStr">
        <is>
          <t>Autos</t>
        </is>
      </c>
      <c r="B42" s="20" t="inlineStr">
        <is>
          <t>Meta</t>
        </is>
      </c>
      <c r="C42" s="11" t="n">
        <v>53121</v>
      </c>
      <c r="D42" s="12" t="n">
        <v>8058</v>
      </c>
      <c r="E42" s="16" t="n">
        <v>6.59</v>
      </c>
      <c r="F42" s="9" t="n">
        <v>13588</v>
      </c>
      <c r="G42" s="10" t="n">
        <v>3.91</v>
      </c>
      <c r="H42" s="10" t="n">
        <v>2.68</v>
      </c>
      <c r="I42" s="21" t="n">
        <v>0.5930232558139535</v>
      </c>
    </row>
    <row r="43">
      <c r="A43" s="15" t="inlineStr">
        <is>
          <t>Motos</t>
        </is>
      </c>
      <c r="B43" s="20" t="inlineStr">
        <is>
          <t>Google</t>
        </is>
      </c>
      <c r="C43" s="11" t="n">
        <v>61022</v>
      </c>
      <c r="D43" s="12" t="n">
        <v>15339</v>
      </c>
      <c r="E43" s="16" t="n">
        <v>3.98</v>
      </c>
      <c r="F43" s="9" t="n">
        <v>5850</v>
      </c>
      <c r="G43" s="10" t="n">
        <v>10.43</v>
      </c>
      <c r="H43" s="24" t="n">
        <v>-6.45</v>
      </c>
      <c r="I43" s="21" t="n">
        <v>2.621880971834309</v>
      </c>
    </row>
    <row r="44">
      <c r="A44" s="15" t="inlineStr">
        <is>
          <t>Motos</t>
        </is>
      </c>
      <c r="B44" s="20" t="inlineStr">
        <is>
          <t>Meta</t>
        </is>
      </c>
      <c r="C44" s="11" t="n">
        <v>37986</v>
      </c>
      <c r="D44" s="12" t="n">
        <v>16401</v>
      </c>
      <c r="E44" s="16" t="n">
        <v>2.32</v>
      </c>
      <c r="F44" s="9" t="n">
        <v>3235</v>
      </c>
      <c r="G44" s="10" t="n">
        <v>11.74</v>
      </c>
      <c r="H44" s="24" t="n">
        <v>-9.43</v>
      </c>
      <c r="I44" s="21" t="n">
        <v>5.069860896445132</v>
      </c>
    </row>
    <row r="45">
      <c r="A45" s="15" t="inlineStr">
        <is>
          <t>Viajes</t>
        </is>
      </c>
      <c r="B45" s="20" t="inlineStr">
        <is>
          <t>Google</t>
        </is>
      </c>
      <c r="C45" s="11" t="n">
        <v>27204</v>
      </c>
      <c r="D45" s="12" t="n">
        <v>808</v>
      </c>
      <c r="E45" s="16" t="n">
        <v>33.67</v>
      </c>
      <c r="F45" s="9" t="n">
        <v>1002</v>
      </c>
      <c r="G45" s="10" t="n">
        <v>27.15</v>
      </c>
      <c r="H45" s="25" t="n">
        <v>6.52</v>
      </c>
      <c r="I45" s="21" t="n">
        <v>0.8064274664404411</v>
      </c>
    </row>
    <row r="46">
      <c r="A46" s="15" t="inlineStr">
        <is>
          <t>Viajes</t>
        </is>
      </c>
      <c r="B46" s="20" t="inlineStr">
        <is>
          <t>Meta</t>
        </is>
      </c>
      <c r="C46" s="11" t="n">
        <v>13296</v>
      </c>
      <c r="D46" s="12" t="n">
        <v>135</v>
      </c>
      <c r="E46" s="16" t="n">
        <v>98.48999999999999</v>
      </c>
      <c r="F46" s="9" t="n">
        <v>411</v>
      </c>
      <c r="G46" s="10" t="n">
        <v>32.35</v>
      </c>
      <c r="H46" s="25" t="n">
        <v>66.14</v>
      </c>
      <c r="I46" s="21" t="n">
        <v>0.3284671532846715</v>
      </c>
    </row>
    <row r="47">
      <c r="A47" s="15" t="inlineStr">
        <is>
          <t>Arriendo</t>
        </is>
      </c>
      <c r="B47" s="20" t="inlineStr">
        <is>
          <t>Google</t>
        </is>
      </c>
      <c r="C47" s="11" t="n">
        <v>58269</v>
      </c>
      <c r="D47" s="12" t="n">
        <v>11472</v>
      </c>
      <c r="E47" s="16" t="n">
        <v>5.08</v>
      </c>
      <c r="F47" s="9" t="n">
        <v>4375</v>
      </c>
      <c r="G47" s="10" t="n">
        <v>13.32</v>
      </c>
      <c r="H47" s="24" t="n">
        <v>-8.24</v>
      </c>
      <c r="I47" s="21" t="n">
        <v>2.622159441556839</v>
      </c>
    </row>
    <row r="48">
      <c r="A48" s="15" t="inlineStr">
        <is>
          <t>Arriendo</t>
        </is>
      </c>
      <c r="B48" s="20" t="inlineStr">
        <is>
          <t>Meta</t>
        </is>
      </c>
      <c r="C48" s="11" t="n">
        <v>58939</v>
      </c>
      <c r="D48" s="12" t="n">
        <v>1932</v>
      </c>
      <c r="E48" s="16" t="n">
        <v>30.51</v>
      </c>
      <c r="F48" s="9" t="n">
        <v>8720</v>
      </c>
      <c r="G48" s="10" t="n">
        <v>6.76</v>
      </c>
      <c r="H48" s="25" t="n">
        <v>23.75</v>
      </c>
      <c r="I48" s="21" t="n">
        <v>0.2215596330275229</v>
      </c>
    </row>
    <row r="51">
      <c r="A51" s="4" t="inlineStr">
        <is>
          <t>INSIGHTS · CPL Negocio vs CPA Plataforma</t>
        </is>
      </c>
      <c r="B51" s="5" t="n"/>
      <c r="C51" s="5" t="n"/>
      <c r="D51" s="5" t="n"/>
      <c r="E51" s="5" t="n"/>
      <c r="F51" s="5" t="n"/>
      <c r="G51" s="5" t="n"/>
      <c r="H51" s="5" t="n"/>
      <c r="I51" s="6" t="n"/>
    </row>
    <row r="52" ht="36" customHeight="1">
      <c r="A52" s="13" t="inlineStr">
        <is>
          <t>• Autos · Google: CPL Negocio US$ 8.69, CPA US$ 4.97, ratio leads/conv 57%.</t>
        </is>
      </c>
    </row>
    <row r="53" ht="36" customHeight="1">
      <c r="A53" s="13" t="inlineStr">
        <is>
          <t>• Autos · Meta: CPL Negocio US$ 6.59, CPA US$ 3.91, ratio leads/conv 59%.</t>
        </is>
      </c>
    </row>
    <row r="54" ht="36" customHeight="1">
      <c r="A54" s="13" t="inlineStr">
        <is>
          <t>• Motos · Google: CRM reportó MÁS leads (15,339) que conversiones plataforma (5,850). CPL Negocio US$ 3.98 vs CPA US$ 10.43. Tracking robusto, CPL real es MENOR.</t>
        </is>
      </c>
    </row>
    <row r="55" ht="36" customHeight="1">
      <c r="A55" s="13" t="inlineStr">
        <is>
          <t>• Motos · Meta: CRM reportó MÁS leads (16,401) que conversiones plataforma (3,235). CPL Negocio US$ 2.32 vs CPA US$ 11.74. Tracking robusto, CPL real es MENOR.</t>
        </is>
      </c>
    </row>
    <row r="56" ht="36" customHeight="1">
      <c r="A56" s="13" t="inlineStr">
        <is>
          <t>• Viajes · Google: CPL Negocio US$ 33.67, CPA US$ 27.15, ratio leads/conv 81%.</t>
        </is>
      </c>
    </row>
    <row r="57" ht="36" customHeight="1">
      <c r="A57" s="13" t="inlineStr">
        <is>
          <t>• Viajes · Meta: CPL Negocio US$ 98.49, CPA US$ 32.35, ratio leads/conv 33%.</t>
        </is>
      </c>
    </row>
    <row r="58" ht="36" customHeight="1">
      <c r="A58" s="13" t="inlineStr">
        <is>
          <t>• Arriendo · Google: CRM reportó MÁS leads (11,472) que conversiones plataforma (4,375). CPL Negocio US$ 5.08 vs CPA US$ 13.32. Tracking robusto, CPL real es MENOR.</t>
        </is>
      </c>
    </row>
    <row r="59" ht="36" customHeight="1">
      <c r="A59" s="13" t="inlineStr">
        <is>
          <t>• Arriendo · Meta: ratio leads/conv muy bajo (22%) — plataforma reporta 8,720 pero CRM solo recibió 1,932. CPL Negocio US$ 30.51 vs CPA US$ 6.76. Posible micro-conversión inflada.</t>
        </is>
      </c>
    </row>
  </sheetData>
  <mergeCells count="12">
    <mergeCell ref="A52:I52"/>
    <mergeCell ref="A59:I59"/>
    <mergeCell ref="A57:I57"/>
    <mergeCell ref="A51:I51"/>
    <mergeCell ref="A2:N2"/>
    <mergeCell ref="A56:I56"/>
    <mergeCell ref="A53:I53"/>
    <mergeCell ref="A58:I58"/>
    <mergeCell ref="A39:I39"/>
    <mergeCell ref="A55:I55"/>
    <mergeCell ref="A54:I54"/>
    <mergeCell ref="A1:N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K58"/>
  <sheetViews>
    <sheetView workbookViewId="0">
      <selection activeCell="A1" sqref="A1"/>
    </sheetView>
  </sheetViews>
  <sheetFormatPr baseColWidth="8" defaultRowHeight="15"/>
  <cols>
    <col width="11" customWidth="1" min="1" max="1"/>
    <col width="9" customWidth="1" min="2" max="2"/>
    <col width="50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</cols>
  <sheetData>
    <row r="1">
      <c r="A1" s="14" t="inlineStr">
        <is>
          <t>Match campaña-a-campaña · Inversión vs Leads SF (CRM) por campaña individual</t>
        </is>
      </c>
    </row>
    <row r="2" ht="36" customHeight="1">
      <c r="A2" s="22" t="inlineStr">
        <is>
          <t>Cada fila = una campaña Google o ad set Meta (totales Ene-Abr). Match: nombre campaña/adset → 'Campaign UTM' del Sheet BI (case-insensitive). Filas marcadas en ROJO = inversión &gt; 0 pero leads SF = 0 (ROI cero).</t>
        </is>
      </c>
    </row>
    <row r="4" ht="32" customHeight="1">
      <c r="A4" s="3" t="inlineStr">
        <is>
          <t>Producto</t>
        </is>
      </c>
      <c r="B4" s="3" t="inlineStr">
        <is>
          <t>Plataforma</t>
        </is>
      </c>
      <c r="C4" s="3" t="inlineStr">
        <is>
          <t>Campaña</t>
        </is>
      </c>
      <c r="D4" s="3" t="inlineStr">
        <is>
          <t>Estado</t>
        </is>
      </c>
      <c r="E4" s="3" t="inlineStr">
        <is>
          <t>Spend (US$)</t>
        </is>
      </c>
      <c r="F4" s="3" t="inlineStr">
        <is>
          <t>Conv. Plat.</t>
        </is>
      </c>
      <c r="G4" s="3" t="inlineStr">
        <is>
          <t>CPA Plat.</t>
        </is>
      </c>
      <c r="H4" s="3" t="inlineStr">
        <is>
          <t>Leads SF</t>
        </is>
      </c>
      <c r="I4" s="3" t="inlineStr">
        <is>
          <t>CPL Negocio</t>
        </is>
      </c>
      <c r="J4" s="3" t="inlineStr">
        <is>
          <t>Pólizas</t>
        </is>
      </c>
      <c r="K4" s="3" t="inlineStr">
        <is>
          <t>CAC</t>
        </is>
      </c>
    </row>
    <row r="5">
      <c r="A5" s="26" t="inlineStr">
        <is>
          <t>Autos</t>
        </is>
      </c>
      <c r="B5" s="27" t="inlineStr">
        <is>
          <t>Google</t>
        </is>
      </c>
      <c r="C5" s="28" t="inlineStr">
        <is>
          <t>SURA_AUTOS_PMAX</t>
        </is>
      </c>
      <c r="D5" s="29" t="inlineStr">
        <is>
          <t>Habilitada</t>
        </is>
      </c>
      <c r="E5" s="8" t="n">
        <v>46155</v>
      </c>
      <c r="F5" s="9" t="n">
        <v>12688</v>
      </c>
      <c r="G5" s="10" t="n">
        <v>3.64</v>
      </c>
      <c r="H5" s="9" t="n">
        <v>418</v>
      </c>
      <c r="I5" s="10" t="n">
        <v>110.42</v>
      </c>
      <c r="J5" s="9" t="n">
        <v>1</v>
      </c>
      <c r="K5" s="8" t="n">
        <v>46155</v>
      </c>
    </row>
    <row r="6">
      <c r="A6" s="26" t="inlineStr">
        <is>
          <t>Autos</t>
        </is>
      </c>
      <c r="B6" s="27" t="inlineStr">
        <is>
          <t>Google</t>
        </is>
      </c>
      <c r="C6" s="28" t="inlineStr">
        <is>
          <t>SURA_AUTOS_SEARCH_SEGMENT</t>
        </is>
      </c>
      <c r="D6" s="29" t="inlineStr">
        <is>
          <t>Habilitada</t>
        </is>
      </c>
      <c r="E6" s="8" t="n">
        <v>38289</v>
      </c>
      <c r="F6" s="9" t="n">
        <v>6302</v>
      </c>
      <c r="G6" s="10" t="n">
        <v>6.08</v>
      </c>
      <c r="H6" s="9" t="n">
        <v>3574</v>
      </c>
      <c r="I6" s="10" t="n">
        <v>10.71</v>
      </c>
      <c r="J6" s="9" t="n">
        <v>6</v>
      </c>
      <c r="K6" s="8" t="n">
        <v>6382</v>
      </c>
    </row>
    <row r="7">
      <c r="A7" s="26" t="inlineStr">
        <is>
          <t>Arriendo</t>
        </is>
      </c>
      <c r="B7" s="27" t="inlineStr">
        <is>
          <t>Google</t>
        </is>
      </c>
      <c r="C7" s="28" t="inlineStr">
        <is>
          <t>SURA_ARRIENDO_PMAX</t>
        </is>
      </c>
      <c r="D7" s="29" t="inlineStr">
        <is>
          <t>Habilitada</t>
        </is>
      </c>
      <c r="E7" s="8" t="n">
        <v>31455</v>
      </c>
      <c r="F7" s="9" t="n">
        <v>2971</v>
      </c>
      <c r="G7" s="10" t="n">
        <v>10.59</v>
      </c>
      <c r="H7" s="9" t="n">
        <v>159</v>
      </c>
      <c r="I7" s="10" t="n">
        <v>197.83</v>
      </c>
      <c r="J7" s="9" t="n">
        <v>12</v>
      </c>
      <c r="K7" s="8" t="n">
        <v>2621</v>
      </c>
    </row>
    <row r="8">
      <c r="A8" s="26" t="inlineStr">
        <is>
          <t>Motos</t>
        </is>
      </c>
      <c r="B8" s="27" t="inlineStr">
        <is>
          <t>Google</t>
        </is>
      </c>
      <c r="C8" s="28" t="inlineStr">
        <is>
          <t>SURA_MOTOS_PMAX</t>
        </is>
      </c>
      <c r="D8" s="29" t="inlineStr">
        <is>
          <t>Habilitada</t>
        </is>
      </c>
      <c r="E8" s="8" t="n">
        <v>27137</v>
      </c>
      <c r="F8" s="9" t="n">
        <v>2788</v>
      </c>
      <c r="G8" s="10" t="n">
        <v>9.73</v>
      </c>
      <c r="H8" s="9" t="n">
        <v>228</v>
      </c>
      <c r="I8" s="10" t="n">
        <v>119.02</v>
      </c>
      <c r="J8" s="9" t="n">
        <v>6</v>
      </c>
      <c r="K8" s="8" t="n">
        <v>4523</v>
      </c>
    </row>
    <row r="9">
      <c r="A9" s="26" t="inlineStr">
        <is>
          <t>Arriendo</t>
        </is>
      </c>
      <c r="B9" s="27" t="inlineStr">
        <is>
          <t>Google</t>
        </is>
      </c>
      <c r="C9" s="28" t="inlineStr">
        <is>
          <t>SURA_ARRIENDO_SEARCH_SEGMENT</t>
        </is>
      </c>
      <c r="D9" s="29" t="inlineStr">
        <is>
          <t>Habilitada</t>
        </is>
      </c>
      <c r="E9" s="8" t="n">
        <v>26814</v>
      </c>
      <c r="F9" s="9" t="n">
        <v>1404</v>
      </c>
      <c r="G9" s="10" t="n">
        <v>19.1</v>
      </c>
      <c r="H9" s="9" t="n">
        <v>1846</v>
      </c>
      <c r="I9" s="10" t="n">
        <v>14.53</v>
      </c>
      <c r="J9" s="9" t="n">
        <v>247</v>
      </c>
      <c r="K9" s="8" t="n">
        <v>109</v>
      </c>
    </row>
    <row r="10">
      <c r="A10" s="26" t="inlineStr">
        <is>
          <t>Arriendo</t>
        </is>
      </c>
      <c r="B10" s="27" t="inlineStr">
        <is>
          <t>Meta</t>
        </is>
      </c>
      <c r="C10" s="28" t="inlineStr">
        <is>
          <t>CONVERSIONES_ARRIENDO_INTERESES_2025</t>
        </is>
      </c>
      <c r="D10" s="29" t="inlineStr">
        <is>
          <t>active</t>
        </is>
      </c>
      <c r="E10" s="8" t="n">
        <v>22814</v>
      </c>
      <c r="F10" s="9" t="n">
        <v>3793</v>
      </c>
      <c r="G10" s="10" t="n">
        <v>6.01</v>
      </c>
      <c r="H10" s="9" t="n">
        <v>104</v>
      </c>
      <c r="I10" s="10" t="n">
        <v>219.37</v>
      </c>
      <c r="J10" s="9" t="n">
        <v>8</v>
      </c>
      <c r="K10" s="8" t="n">
        <v>2852</v>
      </c>
    </row>
    <row r="11">
      <c r="A11" s="26" t="inlineStr">
        <is>
          <t>Autos</t>
        </is>
      </c>
      <c r="B11" s="27" t="inlineStr">
        <is>
          <t>Meta</t>
        </is>
      </c>
      <c r="C11" s="28" t="inlineStr">
        <is>
          <t>CONVERSIONES_AUTO_RMKT_2025</t>
        </is>
      </c>
      <c r="D11" s="29" t="inlineStr">
        <is>
          <t>active</t>
        </is>
      </c>
      <c r="E11" s="8" t="n">
        <v>18438</v>
      </c>
      <c r="F11" s="9" t="n">
        <v>4781</v>
      </c>
      <c r="G11" s="10" t="n">
        <v>3.86</v>
      </c>
      <c r="H11" s="9" t="n">
        <v>1937</v>
      </c>
      <c r="I11" s="10" t="n">
        <v>9.52</v>
      </c>
      <c r="J11" s="9" t="n">
        <v>3</v>
      </c>
      <c r="K11" s="8" t="n">
        <v>6146</v>
      </c>
    </row>
    <row r="12">
      <c r="A12" s="26" t="inlineStr">
        <is>
          <t>Arriendo</t>
        </is>
      </c>
      <c r="B12" s="27" t="inlineStr">
        <is>
          <t>Meta</t>
        </is>
      </c>
      <c r="C12" s="28" t="inlineStr">
        <is>
          <t>CONVERSIONES_ARRIENDO_RMKT_2025</t>
        </is>
      </c>
      <c r="D12" s="29" t="inlineStr">
        <is>
          <t>active</t>
        </is>
      </c>
      <c r="E12" s="8" t="n">
        <v>18304</v>
      </c>
      <c r="F12" s="9" t="n">
        <v>2909</v>
      </c>
      <c r="G12" s="10" t="n">
        <v>6.29</v>
      </c>
      <c r="H12" s="9" t="n">
        <v>49</v>
      </c>
      <c r="I12" s="10" t="n">
        <v>373.55</v>
      </c>
      <c r="J12" s="9" t="n">
        <v>4</v>
      </c>
      <c r="K12" s="8" t="n">
        <v>4576</v>
      </c>
    </row>
    <row r="13">
      <c r="A13" s="26" t="inlineStr">
        <is>
          <t>Autos</t>
        </is>
      </c>
      <c r="B13" s="27" t="inlineStr">
        <is>
          <t>Google</t>
        </is>
      </c>
      <c r="C13" s="28" t="inlineStr">
        <is>
          <t>SURA_AUTOS_SEARCH_RETENTION</t>
        </is>
      </c>
      <c r="D13" s="29" t="inlineStr">
        <is>
          <t>Habilitada</t>
        </is>
      </c>
      <c r="E13" s="8" t="n">
        <v>18060</v>
      </c>
      <c r="F13" s="9" t="n">
        <v>1757</v>
      </c>
      <c r="G13" s="10" t="n">
        <v>10.28</v>
      </c>
      <c r="H13" s="9" t="n">
        <v>1214</v>
      </c>
      <c r="I13" s="10" t="n">
        <v>14.88</v>
      </c>
      <c r="J13" s="9" t="n">
        <v>13</v>
      </c>
      <c r="K13" s="8" t="n">
        <v>1389</v>
      </c>
    </row>
    <row r="14">
      <c r="A14" s="26" t="inlineStr">
        <is>
          <t>Motos</t>
        </is>
      </c>
      <c r="B14" s="27" t="inlineStr">
        <is>
          <t>Meta</t>
        </is>
      </c>
      <c r="C14" s="28" t="inlineStr">
        <is>
          <t>CONVERSIONES_MOTO_RMKT_2025</t>
        </is>
      </c>
      <c r="D14" s="29" t="inlineStr">
        <is>
          <t>active</t>
        </is>
      </c>
      <c r="E14" s="8" t="n">
        <v>18025</v>
      </c>
      <c r="F14" s="9" t="n">
        <v>1711</v>
      </c>
      <c r="G14" s="10" t="n">
        <v>10.53</v>
      </c>
      <c r="H14" s="9" t="n">
        <v>2120</v>
      </c>
      <c r="I14" s="10" t="n">
        <v>8.5</v>
      </c>
      <c r="J14" s="9" t="n">
        <v>81</v>
      </c>
      <c r="K14" s="8" t="n">
        <v>223</v>
      </c>
    </row>
    <row r="15">
      <c r="A15" s="26" t="inlineStr">
        <is>
          <t>Autos</t>
        </is>
      </c>
      <c r="B15" s="27" t="inlineStr">
        <is>
          <t>Meta</t>
        </is>
      </c>
      <c r="C15" s="28" t="inlineStr">
        <is>
          <t>CONVERSIONES_AUTO_INTERESES_2025</t>
        </is>
      </c>
      <c r="D15" s="29" t="inlineStr">
        <is>
          <t>active</t>
        </is>
      </c>
      <c r="E15" s="8" t="n">
        <v>15842</v>
      </c>
      <c r="F15" s="9" t="n">
        <v>4197</v>
      </c>
      <c r="G15" s="10" t="n">
        <v>3.77</v>
      </c>
      <c r="H15" s="9" t="n">
        <v>1709</v>
      </c>
      <c r="I15" s="10" t="n">
        <v>9.27</v>
      </c>
      <c r="J15" s="9" t="n">
        <v>3</v>
      </c>
      <c r="K15" s="8" t="n">
        <v>5281</v>
      </c>
    </row>
    <row r="16">
      <c r="A16" s="26" t="inlineStr">
        <is>
          <t>Motos</t>
        </is>
      </c>
      <c r="B16" s="27" t="inlineStr">
        <is>
          <t>Google</t>
        </is>
      </c>
      <c r="C16" s="28" t="inlineStr">
        <is>
          <t>SURA_MOTOS_SEARCH_SEGMENT</t>
        </is>
      </c>
      <c r="D16" s="29" t="inlineStr">
        <is>
          <t>Habilitada</t>
        </is>
      </c>
      <c r="E16" s="8" t="n">
        <v>15309</v>
      </c>
      <c r="F16" s="9" t="n">
        <v>1064</v>
      </c>
      <c r="G16" s="10" t="n">
        <v>14.39</v>
      </c>
      <c r="H16" s="9" t="n">
        <v>3522</v>
      </c>
      <c r="I16" s="24" t="n">
        <v>4.35</v>
      </c>
      <c r="J16" s="9" t="n">
        <v>116</v>
      </c>
      <c r="K16" s="8" t="n">
        <v>132</v>
      </c>
    </row>
    <row r="17">
      <c r="A17" s="26" t="inlineStr">
        <is>
          <t>Motos</t>
        </is>
      </c>
      <c r="B17" s="27" t="inlineStr">
        <is>
          <t>Google</t>
        </is>
      </c>
      <c r="C17" s="28" t="inlineStr">
        <is>
          <t>SURA_MOTOS_SEARCH_RETENTION</t>
        </is>
      </c>
      <c r="D17" s="29" t="inlineStr">
        <is>
          <t>Habilitada</t>
        </is>
      </c>
      <c r="E17" s="8" t="n">
        <v>13795</v>
      </c>
      <c r="F17" s="9" t="n">
        <v>1566</v>
      </c>
      <c r="G17" s="10" t="n">
        <v>8.81</v>
      </c>
      <c r="H17" s="9" t="n">
        <v>2443</v>
      </c>
      <c r="I17" s="10" t="n">
        <v>5.65</v>
      </c>
      <c r="J17" s="9" t="n">
        <v>265</v>
      </c>
      <c r="K17" s="8" t="n">
        <v>52</v>
      </c>
    </row>
    <row r="18">
      <c r="A18" s="26" t="inlineStr">
        <is>
          <t>Viajes</t>
        </is>
      </c>
      <c r="B18" s="27" t="inlineStr">
        <is>
          <t>Google</t>
        </is>
      </c>
      <c r="C18" s="28" t="inlineStr">
        <is>
          <t>SURA_VIAJES_SEARCH_RETENTION</t>
        </is>
      </c>
      <c r="D18" s="29" t="inlineStr">
        <is>
          <t>Habilitada</t>
        </is>
      </c>
      <c r="E18" s="8" t="n">
        <v>13776</v>
      </c>
      <c r="F18" s="9" t="n">
        <v>548</v>
      </c>
      <c r="G18" s="10" t="n">
        <v>25.12</v>
      </c>
      <c r="H18" s="9" t="n">
        <v>471</v>
      </c>
      <c r="I18" s="10" t="n">
        <v>29.25</v>
      </c>
      <c r="J18" s="9" t="n">
        <v>286</v>
      </c>
      <c r="K18" s="8" t="n">
        <v>48</v>
      </c>
    </row>
    <row r="19">
      <c r="A19" s="26" t="inlineStr">
        <is>
          <t>Motos</t>
        </is>
      </c>
      <c r="B19" s="27" t="inlineStr">
        <is>
          <t>Meta</t>
        </is>
      </c>
      <c r="C19" s="28" t="inlineStr">
        <is>
          <t>CONVERSIONES_MOTO_INTERESES_2025</t>
        </is>
      </c>
      <c r="D19" s="29" t="inlineStr">
        <is>
          <t>active</t>
        </is>
      </c>
      <c r="E19" s="8" t="n">
        <v>13630</v>
      </c>
      <c r="F19" s="9" t="n">
        <v>1184</v>
      </c>
      <c r="G19" s="10" t="n">
        <v>11.51</v>
      </c>
      <c r="H19" s="9" t="n">
        <v>4020</v>
      </c>
      <c r="I19" s="24" t="n">
        <v>3.39</v>
      </c>
      <c r="J19" s="9" t="n">
        <v>100</v>
      </c>
      <c r="K19" s="8" t="n">
        <v>136</v>
      </c>
    </row>
    <row r="20">
      <c r="A20" s="26" t="inlineStr">
        <is>
          <t>Viajes</t>
        </is>
      </c>
      <c r="B20" s="27" t="inlineStr">
        <is>
          <t>Google</t>
        </is>
      </c>
      <c r="C20" s="28" t="inlineStr">
        <is>
          <t>SURA_VIAJES_PMAX</t>
        </is>
      </c>
      <c r="D20" s="29" t="inlineStr">
        <is>
          <t>Habilitada</t>
        </is>
      </c>
      <c r="E20" s="8" t="n">
        <v>6979</v>
      </c>
      <c r="F20" s="9" t="n">
        <v>315</v>
      </c>
      <c r="G20" s="10" t="n">
        <v>22.13</v>
      </c>
      <c r="H20" s="9" t="n">
        <v>171</v>
      </c>
      <c r="I20" s="10" t="n">
        <v>40.81</v>
      </c>
      <c r="J20" s="9" t="n">
        <v>98</v>
      </c>
      <c r="K20" s="8" t="n">
        <v>71</v>
      </c>
    </row>
    <row r="21">
      <c r="A21" s="26" t="inlineStr">
        <is>
          <t>Autos</t>
        </is>
      </c>
      <c r="B21" s="27" t="inlineStr">
        <is>
          <t>Google</t>
        </is>
      </c>
      <c r="C21" s="28" t="inlineStr">
        <is>
          <t>SURA_AUTOS_SEARCH_CONQUEST</t>
        </is>
      </c>
      <c r="D21" s="29" t="inlineStr">
        <is>
          <t>Habilitada</t>
        </is>
      </c>
      <c r="E21" s="8" t="n">
        <v>6919</v>
      </c>
      <c r="F21" s="9" t="n">
        <v>1277</v>
      </c>
      <c r="G21" s="10" t="n">
        <v>5.42</v>
      </c>
      <c r="H21" s="9" t="n">
        <v>710</v>
      </c>
      <c r="I21" s="10" t="n">
        <v>9.75</v>
      </c>
      <c r="J21" s="9" t="n">
        <v>1</v>
      </c>
      <c r="K21" s="8" t="n">
        <v>6919</v>
      </c>
    </row>
    <row r="22">
      <c r="A22" s="26" t="inlineStr">
        <is>
          <t>Autos</t>
        </is>
      </c>
      <c r="B22" s="27" t="inlineStr">
        <is>
          <t>Meta</t>
        </is>
      </c>
      <c r="C22" s="28" t="inlineStr">
        <is>
          <t>CONVERSIONES_AUTO_PLAN_GLOBAL_INTERESES_2025</t>
        </is>
      </c>
      <c r="D22" s="29" t="inlineStr">
        <is>
          <t>inactive</t>
        </is>
      </c>
      <c r="E22" s="8" t="n">
        <v>6566</v>
      </c>
      <c r="F22" s="9" t="n">
        <v>1873</v>
      </c>
      <c r="G22" s="10" t="n">
        <v>3.51</v>
      </c>
      <c r="H22" s="9" t="n">
        <v>1</v>
      </c>
      <c r="I22" s="10" t="n">
        <v>6566.13</v>
      </c>
      <c r="J22" s="9" t="n">
        <v>0</v>
      </c>
      <c r="K22" s="8" t="n">
        <v>0</v>
      </c>
    </row>
    <row r="23">
      <c r="A23" s="26" t="inlineStr">
        <is>
          <t>Viajes</t>
        </is>
      </c>
      <c r="B23" s="27" t="inlineStr">
        <is>
          <t>Google</t>
        </is>
      </c>
      <c r="C23" s="28" t="inlineStr">
        <is>
          <t>SURA_VIAJES_SEARCH_SEGMENT</t>
        </is>
      </c>
      <c r="D23" s="29" t="inlineStr">
        <is>
          <t>Habilitada</t>
        </is>
      </c>
      <c r="E23" s="8" t="n">
        <v>6448</v>
      </c>
      <c r="F23" s="9" t="n">
        <v>138</v>
      </c>
      <c r="G23" s="10" t="n">
        <v>46.68</v>
      </c>
      <c r="H23" s="9" t="n">
        <v>131</v>
      </c>
      <c r="I23" s="10" t="n">
        <v>49.22</v>
      </c>
      <c r="J23" s="9" t="n">
        <v>63</v>
      </c>
      <c r="K23" s="8" t="n">
        <v>102</v>
      </c>
    </row>
    <row r="24">
      <c r="A24" s="26" t="inlineStr">
        <is>
          <t>Autos</t>
        </is>
      </c>
      <c r="B24" s="27" t="inlineStr">
        <is>
          <t>Meta</t>
        </is>
      </c>
      <c r="C24" s="28" t="inlineStr">
        <is>
          <t>CONVERSIONES_AUTO_INTERESES_PROMOCIONES</t>
        </is>
      </c>
      <c r="D24" s="29" t="inlineStr">
        <is>
          <t>active</t>
        </is>
      </c>
      <c r="E24" s="8" t="n">
        <v>6314</v>
      </c>
      <c r="F24" s="9" t="n">
        <v>1474</v>
      </c>
      <c r="G24" s="10" t="n">
        <v>4.28</v>
      </c>
      <c r="H24" s="9" t="n">
        <v>743</v>
      </c>
      <c r="I24" s="10" t="n">
        <v>8.5</v>
      </c>
      <c r="J24" s="9" t="n">
        <v>1</v>
      </c>
      <c r="K24" s="8" t="n">
        <v>6314</v>
      </c>
    </row>
    <row r="25">
      <c r="A25" s="26" t="inlineStr">
        <is>
          <t>Autos</t>
        </is>
      </c>
      <c r="B25" s="27" t="inlineStr">
        <is>
          <t>Meta</t>
        </is>
      </c>
      <c r="C25" s="28" t="inlineStr">
        <is>
          <t>CONVERSIONES_AUTO_RMKT_PROMOCIONES</t>
        </is>
      </c>
      <c r="D25" s="29" t="inlineStr">
        <is>
          <t>active</t>
        </is>
      </c>
      <c r="E25" s="8" t="n">
        <v>5961</v>
      </c>
      <c r="F25" s="9" t="n">
        <v>1263</v>
      </c>
      <c r="G25" s="10" t="n">
        <v>4.72</v>
      </c>
      <c r="H25" s="9" t="n">
        <v>653</v>
      </c>
      <c r="I25" s="10" t="n">
        <v>9.130000000000001</v>
      </c>
      <c r="J25" s="9" t="n">
        <v>2</v>
      </c>
      <c r="K25" s="8" t="n">
        <v>2981</v>
      </c>
    </row>
    <row r="26">
      <c r="A26" s="30" t="inlineStr">
        <is>
          <t>Viajes</t>
        </is>
      </c>
      <c r="B26" s="31" t="inlineStr">
        <is>
          <t>Meta</t>
        </is>
      </c>
      <c r="C26" s="32" t="inlineStr">
        <is>
          <t>CONVERSIONES_VIAJES_INTERESES_2025_V2</t>
        </is>
      </c>
      <c r="D26" s="33" t="inlineStr">
        <is>
          <t>active</t>
        </is>
      </c>
      <c r="E26" s="34" t="n">
        <v>5294</v>
      </c>
      <c r="F26" s="35" t="n">
        <v>185</v>
      </c>
      <c r="G26" s="36" t="n">
        <v>28.62</v>
      </c>
      <c r="H26" s="37" t="n">
        <v>0</v>
      </c>
      <c r="I26" s="36" t="n">
        <v>0</v>
      </c>
      <c r="J26" s="35" t="n">
        <v>0</v>
      </c>
      <c r="K26" s="34" t="n">
        <v>0</v>
      </c>
    </row>
    <row r="27">
      <c r="A27" s="30" t="inlineStr">
        <is>
          <t>Viajes</t>
        </is>
      </c>
      <c r="B27" s="31" t="inlineStr">
        <is>
          <t>Meta</t>
        </is>
      </c>
      <c r="C27" s="32" t="inlineStr">
        <is>
          <t>CONVERSIONES_VIAJES_RMKT_2025_V2</t>
        </is>
      </c>
      <c r="D27" s="33" t="inlineStr">
        <is>
          <t>active</t>
        </is>
      </c>
      <c r="E27" s="34" t="n">
        <v>5054</v>
      </c>
      <c r="F27" s="35" t="n">
        <v>135</v>
      </c>
      <c r="G27" s="36" t="n">
        <v>37.44</v>
      </c>
      <c r="H27" s="37" t="n">
        <v>0</v>
      </c>
      <c r="I27" s="36" t="n">
        <v>0</v>
      </c>
      <c r="J27" s="35" t="n">
        <v>0</v>
      </c>
      <c r="K27" s="34" t="n">
        <v>0</v>
      </c>
    </row>
    <row r="28">
      <c r="A28" s="30" t="inlineStr">
        <is>
          <t>Arriendo</t>
        </is>
      </c>
      <c r="B28" s="31" t="inlineStr">
        <is>
          <t>Meta</t>
        </is>
      </c>
      <c r="C28" s="32" t="inlineStr">
        <is>
          <t>CONVERSIONES_ARRIENDO_RMKT_PROMOCIONES</t>
        </is>
      </c>
      <c r="D28" s="33" t="inlineStr">
        <is>
          <t>inactive</t>
        </is>
      </c>
      <c r="E28" s="34" t="n">
        <v>4853</v>
      </c>
      <c r="F28" s="35" t="n">
        <v>535</v>
      </c>
      <c r="G28" s="36" t="n">
        <v>9.07</v>
      </c>
      <c r="H28" s="37" t="n">
        <v>0</v>
      </c>
      <c r="I28" s="36" t="n">
        <v>0</v>
      </c>
      <c r="J28" s="35" t="n">
        <v>0</v>
      </c>
      <c r="K28" s="34" t="n">
        <v>0</v>
      </c>
    </row>
    <row r="29">
      <c r="A29" s="26" t="inlineStr">
        <is>
          <t>Motos</t>
        </is>
      </c>
      <c r="B29" s="27" t="inlineStr">
        <is>
          <t>Google</t>
        </is>
      </c>
      <c r="C29" s="28" t="inlineStr">
        <is>
          <t>SURA_MOTOS_SEARCH_CONQUEST</t>
        </is>
      </c>
      <c r="D29" s="29" t="inlineStr">
        <is>
          <t>Habilitada</t>
        </is>
      </c>
      <c r="E29" s="8" t="n">
        <v>4781</v>
      </c>
      <c r="F29" s="9" t="n">
        <v>433</v>
      </c>
      <c r="G29" s="10" t="n">
        <v>11.05</v>
      </c>
      <c r="H29" s="9" t="n">
        <v>699</v>
      </c>
      <c r="I29" s="10" t="n">
        <v>6.84</v>
      </c>
      <c r="J29" s="9" t="n">
        <v>47</v>
      </c>
      <c r="K29" s="8" t="n">
        <v>102</v>
      </c>
    </row>
    <row r="30">
      <c r="A30" s="30" t="inlineStr">
        <is>
          <t>Arriendo</t>
        </is>
      </c>
      <c r="B30" s="31" t="inlineStr">
        <is>
          <t>Meta</t>
        </is>
      </c>
      <c r="C30" s="32" t="inlineStr">
        <is>
          <t>CONVERSIONES_ARRIENDO_INTERESES_PROMOCIONES</t>
        </is>
      </c>
      <c r="D30" s="33" t="inlineStr">
        <is>
          <t>inactive</t>
        </is>
      </c>
      <c r="E30" s="34" t="n">
        <v>4742</v>
      </c>
      <c r="F30" s="35" t="n">
        <v>276</v>
      </c>
      <c r="G30" s="36" t="n">
        <v>17.18</v>
      </c>
      <c r="H30" s="37" t="n">
        <v>0</v>
      </c>
      <c r="I30" s="36" t="n">
        <v>0</v>
      </c>
      <c r="J30" s="35" t="n">
        <v>0</v>
      </c>
      <c r="K30" s="34" t="n">
        <v>0</v>
      </c>
    </row>
    <row r="31">
      <c r="A31" s="26" t="inlineStr">
        <is>
          <t>Arriendo</t>
        </is>
      </c>
      <c r="B31" s="27" t="inlineStr">
        <is>
          <t>Meta</t>
        </is>
      </c>
      <c r="C31" s="28" t="inlineStr">
        <is>
          <t>CONVERSIONES_ARRIENDO_LISTA_RECOMPRA</t>
        </is>
      </c>
      <c r="D31" s="29" t="inlineStr">
        <is>
          <t>active</t>
        </is>
      </c>
      <c r="E31" s="8" t="n">
        <v>4243</v>
      </c>
      <c r="F31" s="9" t="n">
        <v>713</v>
      </c>
      <c r="G31" s="10" t="n">
        <v>5.95</v>
      </c>
      <c r="H31" s="9" t="n">
        <v>99</v>
      </c>
      <c r="I31" s="10" t="n">
        <v>42.86</v>
      </c>
      <c r="J31" s="9" t="n">
        <v>6</v>
      </c>
      <c r="K31" s="8" t="n">
        <v>707</v>
      </c>
    </row>
    <row r="32">
      <c r="A32" s="26" t="inlineStr">
        <is>
          <t>Motos</t>
        </is>
      </c>
      <c r="B32" s="27" t="inlineStr">
        <is>
          <t>Meta</t>
        </is>
      </c>
      <c r="C32" s="28" t="inlineStr">
        <is>
          <t>CONVERSIONES_MOTO_RMKT_PROMOCIONES</t>
        </is>
      </c>
      <c r="D32" s="29" t="inlineStr">
        <is>
          <t>inactive</t>
        </is>
      </c>
      <c r="E32" s="8" t="n">
        <v>3432</v>
      </c>
      <c r="F32" s="9" t="n">
        <v>196</v>
      </c>
      <c r="G32" s="10" t="n">
        <v>17.51</v>
      </c>
      <c r="H32" s="9" t="n">
        <v>573</v>
      </c>
      <c r="I32" s="24" t="n">
        <v>5.99</v>
      </c>
      <c r="J32" s="9" t="n">
        <v>28</v>
      </c>
      <c r="K32" s="8" t="n">
        <v>123</v>
      </c>
    </row>
    <row r="33">
      <c r="A33" s="26" t="inlineStr">
        <is>
          <t>Arriendo</t>
        </is>
      </c>
      <c r="B33" s="27" t="inlineStr">
        <is>
          <t>Meta</t>
        </is>
      </c>
      <c r="C33" s="28" t="inlineStr">
        <is>
          <t>CONVERSIONES_ARRIENDO_USUARIOS_SIN_INQUILINO_V2</t>
        </is>
      </c>
      <c r="D33" s="29" t="inlineStr">
        <is>
          <t>active</t>
        </is>
      </c>
      <c r="E33" s="8" t="n">
        <v>3327</v>
      </c>
      <c r="F33" s="9" t="n">
        <v>456</v>
      </c>
      <c r="G33" s="10" t="n">
        <v>7.3</v>
      </c>
      <c r="H33" s="9" t="n">
        <v>89</v>
      </c>
      <c r="I33" s="10" t="n">
        <v>37.38</v>
      </c>
      <c r="J33" s="9" t="n">
        <v>5</v>
      </c>
      <c r="K33" s="8" t="n">
        <v>665</v>
      </c>
    </row>
    <row r="34">
      <c r="A34" s="26" t="inlineStr">
        <is>
          <t>Motos</t>
        </is>
      </c>
      <c r="B34" s="27" t="inlineStr">
        <is>
          <t>Meta</t>
        </is>
      </c>
      <c r="C34" s="28" t="inlineStr">
        <is>
          <t>CONVERSIONES_MOTO_INTERESES_PROMOCIONES</t>
        </is>
      </c>
      <c r="D34" s="29" t="inlineStr">
        <is>
          <t>inactive</t>
        </is>
      </c>
      <c r="E34" s="8" t="n">
        <v>2898</v>
      </c>
      <c r="F34" s="9" t="n">
        <v>144</v>
      </c>
      <c r="G34" s="10" t="n">
        <v>20.13</v>
      </c>
      <c r="H34" s="9" t="n">
        <v>451</v>
      </c>
      <c r="I34" s="24" t="n">
        <v>6.43</v>
      </c>
      <c r="J34" s="9" t="n">
        <v>15</v>
      </c>
      <c r="K34" s="8" t="n">
        <v>193</v>
      </c>
    </row>
    <row r="35">
      <c r="A35" s="26" t="inlineStr">
        <is>
          <t>Viajes</t>
        </is>
      </c>
      <c r="B35" s="27" t="inlineStr">
        <is>
          <t>Meta</t>
        </is>
      </c>
      <c r="C35" s="28" t="inlineStr">
        <is>
          <t>CONVERSIONES_VIAJES_INTERESES_PROMOCIONES</t>
        </is>
      </c>
      <c r="D35" s="29" t="inlineStr">
        <is>
          <t>active</t>
        </is>
      </c>
      <c r="E35" s="8" t="n">
        <v>1557</v>
      </c>
      <c r="F35" s="9" t="n">
        <v>50</v>
      </c>
      <c r="G35" s="10" t="n">
        <v>31.13</v>
      </c>
      <c r="H35" s="9" t="n">
        <v>15</v>
      </c>
      <c r="I35" s="10" t="n">
        <v>103.78</v>
      </c>
      <c r="J35" s="9" t="n">
        <v>5</v>
      </c>
      <c r="K35" s="8" t="n">
        <v>311</v>
      </c>
    </row>
    <row r="36">
      <c r="A36" s="26" t="inlineStr">
        <is>
          <t>Viajes</t>
        </is>
      </c>
      <c r="B36" s="27" t="inlineStr">
        <is>
          <t>Meta</t>
        </is>
      </c>
      <c r="C36" s="28" t="inlineStr">
        <is>
          <t>CONVERSIONES_VIAJES_RMKT_PROMOCIONES</t>
        </is>
      </c>
      <c r="D36" s="29" t="inlineStr">
        <is>
          <t>active</t>
        </is>
      </c>
      <c r="E36" s="8" t="n">
        <v>1391</v>
      </c>
      <c r="F36" s="9" t="n">
        <v>41</v>
      </c>
      <c r="G36" s="10" t="n">
        <v>33.93</v>
      </c>
      <c r="H36" s="9" t="n">
        <v>11</v>
      </c>
      <c r="I36" s="10" t="n">
        <v>126.47</v>
      </c>
      <c r="J36" s="9" t="n">
        <v>3</v>
      </c>
      <c r="K36" s="8" t="n">
        <v>464</v>
      </c>
    </row>
    <row r="37">
      <c r="A37" s="26" t="inlineStr">
        <is>
          <t>Arriendo</t>
        </is>
      </c>
      <c r="B37" s="27" t="inlineStr">
        <is>
          <t>Meta</t>
        </is>
      </c>
      <c r="C37" s="28" t="inlineStr">
        <is>
          <t>CONVERSIONES_ARRIENDO_USUARIOS_SIN_INQUILINO_2025</t>
        </is>
      </c>
      <c r="D37" s="29" t="inlineStr">
        <is>
          <t>inactive</t>
        </is>
      </c>
      <c r="E37" s="8" t="n">
        <v>460</v>
      </c>
      <c r="F37" s="9" t="n">
        <v>12</v>
      </c>
      <c r="G37" s="10" t="n">
        <v>38.35</v>
      </c>
      <c r="H37" s="9" t="n">
        <v>19</v>
      </c>
      <c r="I37" s="10" t="n">
        <v>24.22</v>
      </c>
      <c r="J37" s="9" t="n">
        <v>1</v>
      </c>
      <c r="K37" s="8" t="n">
        <v>460</v>
      </c>
    </row>
    <row r="38">
      <c r="A38" s="30" t="inlineStr">
        <is>
          <t>Arriendo</t>
        </is>
      </c>
      <c r="B38" s="31" t="inlineStr">
        <is>
          <t>Meta</t>
        </is>
      </c>
      <c r="C38" s="32" t="inlineStr">
        <is>
          <t>CONVERSIONES_ARRIENDO_INTERESES_2026_V2</t>
        </is>
      </c>
      <c r="D38" s="33" t="inlineStr">
        <is>
          <t>inactive</t>
        </is>
      </c>
      <c r="E38" s="34" t="n">
        <v>197</v>
      </c>
      <c r="F38" s="35" t="n">
        <v>26</v>
      </c>
      <c r="G38" s="36" t="n">
        <v>7.56</v>
      </c>
      <c r="H38" s="37" t="n">
        <v>0</v>
      </c>
      <c r="I38" s="36" t="n">
        <v>0</v>
      </c>
      <c r="J38" s="35" t="n">
        <v>0</v>
      </c>
      <c r="K38" s="34" t="n">
        <v>0</v>
      </c>
    </row>
    <row r="39">
      <c r="A39" s="26" t="inlineStr">
        <is>
          <t>Viajes</t>
        </is>
      </c>
      <c r="B39" s="27" t="inlineStr">
        <is>
          <t>Meta</t>
        </is>
      </c>
      <c r="C39" s="28" t="inlineStr">
        <is>
          <t>CONVERSIONES_VIAJES_RMKT_2025</t>
        </is>
      </c>
      <c r="D39" s="29" t="inlineStr">
        <is>
          <t>inactive</t>
        </is>
      </c>
      <c r="E39" s="8" t="n">
        <v>0</v>
      </c>
      <c r="F39" s="9" t="n">
        <v>0</v>
      </c>
      <c r="G39" s="10" t="n">
        <v>0</v>
      </c>
      <c r="H39" s="9" t="n">
        <v>33</v>
      </c>
      <c r="I39" s="10" t="n">
        <v>0</v>
      </c>
      <c r="J39" s="9" t="n">
        <v>10</v>
      </c>
      <c r="K39" s="8" t="n">
        <v>0</v>
      </c>
    </row>
    <row r="40">
      <c r="A40" s="26" t="inlineStr">
        <is>
          <t>Viajes</t>
        </is>
      </c>
      <c r="B40" s="27" t="inlineStr">
        <is>
          <t>Meta</t>
        </is>
      </c>
      <c r="C40" s="28" t="inlineStr">
        <is>
          <t>CONVERSIONES_VIAJES_INTERESES_2025</t>
        </is>
      </c>
      <c r="D40" s="29" t="inlineStr">
        <is>
          <t>inactive</t>
        </is>
      </c>
      <c r="E40" s="8" t="n">
        <v>0</v>
      </c>
      <c r="F40" s="9" t="n">
        <v>0</v>
      </c>
      <c r="G40" s="10" t="n">
        <v>0</v>
      </c>
      <c r="H40" s="9" t="n">
        <v>38</v>
      </c>
      <c r="I40" s="10" t="n">
        <v>0</v>
      </c>
      <c r="J40" s="9" t="n">
        <v>15</v>
      </c>
      <c r="K40" s="8" t="n">
        <v>0</v>
      </c>
    </row>
    <row r="41">
      <c r="A41" s="26" t="inlineStr">
        <is>
          <t>Autos</t>
        </is>
      </c>
      <c r="B41" s="27" t="inlineStr">
        <is>
          <t>Meta</t>
        </is>
      </c>
      <c r="C41" s="28" t="inlineStr">
        <is>
          <t>CONVERSIONES_AUTO_INTERESES_2025_V3</t>
        </is>
      </c>
      <c r="D41" s="29" t="inlineStr">
        <is>
          <t>inactive</t>
        </is>
      </c>
      <c r="E41" s="8" t="n">
        <v>0</v>
      </c>
      <c r="F41" s="9" t="n">
        <v>0</v>
      </c>
      <c r="G41" s="10" t="n">
        <v>0</v>
      </c>
      <c r="H41" s="9" t="n">
        <v>0</v>
      </c>
      <c r="I41" s="10" t="n">
        <v>0</v>
      </c>
      <c r="J41" s="9" t="n">
        <v>0</v>
      </c>
      <c r="K41" s="8" t="n">
        <v>0</v>
      </c>
    </row>
    <row r="42">
      <c r="A42" s="26" t="inlineStr">
        <is>
          <t>Motos</t>
        </is>
      </c>
      <c r="B42" s="27" t="inlineStr">
        <is>
          <t>Meta</t>
        </is>
      </c>
      <c r="C42" s="28" t="inlineStr">
        <is>
          <t>MOTO - Cali Bajaj - Planes</t>
        </is>
      </c>
      <c r="D42" s="29" t="inlineStr">
        <is>
          <t>inactive</t>
        </is>
      </c>
      <c r="E42" s="8" t="n">
        <v>0</v>
      </c>
      <c r="F42" s="9" t="n">
        <v>0</v>
      </c>
      <c r="G42" s="10" t="n">
        <v>0</v>
      </c>
      <c r="H42" s="9" t="n">
        <v>0</v>
      </c>
      <c r="I42" s="10" t="n">
        <v>0</v>
      </c>
      <c r="J42" s="9" t="n">
        <v>0</v>
      </c>
      <c r="K42" s="8" t="n">
        <v>0</v>
      </c>
    </row>
    <row r="43">
      <c r="A43" s="26" t="inlineStr">
        <is>
          <t>Autos</t>
        </is>
      </c>
      <c r="B43" s="27" t="inlineStr">
        <is>
          <t>Meta</t>
        </is>
      </c>
      <c r="C43" s="28" t="inlineStr">
        <is>
          <t>CONVERSIONES_AUTO_RMKT_2025_V3</t>
        </is>
      </c>
      <c r="D43" s="29" t="inlineStr">
        <is>
          <t>inactive</t>
        </is>
      </c>
      <c r="E43" s="8" t="n">
        <v>0</v>
      </c>
      <c r="F43" s="9" t="n">
        <v>0</v>
      </c>
      <c r="G43" s="10" t="n">
        <v>0</v>
      </c>
      <c r="H43" s="9" t="n">
        <v>0</v>
      </c>
      <c r="I43" s="10" t="n">
        <v>0</v>
      </c>
      <c r="J43" s="9" t="n">
        <v>0</v>
      </c>
      <c r="K43" s="8" t="n">
        <v>0</v>
      </c>
    </row>
    <row r="44">
      <c r="A44" s="26" t="inlineStr">
        <is>
          <t>Motos</t>
        </is>
      </c>
      <c r="B44" s="27" t="inlineStr">
        <is>
          <t>Meta</t>
        </is>
      </c>
      <c r="C44" s="28" t="inlineStr">
        <is>
          <t>MOTO - Bogotá Suzuki - Planes</t>
        </is>
      </c>
      <c r="D44" s="29" t="inlineStr">
        <is>
          <t>inactive</t>
        </is>
      </c>
      <c r="E44" s="8" t="n">
        <v>0</v>
      </c>
      <c r="F44" s="9" t="n">
        <v>0</v>
      </c>
      <c r="G44" s="10" t="n">
        <v>0</v>
      </c>
      <c r="H44" s="9" t="n">
        <v>0</v>
      </c>
      <c r="I44" s="10" t="n">
        <v>0</v>
      </c>
      <c r="J44" s="9" t="n">
        <v>0</v>
      </c>
      <c r="K44" s="8" t="n">
        <v>0</v>
      </c>
    </row>
    <row r="45">
      <c r="A45" s="26" t="inlineStr">
        <is>
          <t>Viajes</t>
        </is>
      </c>
      <c r="B45" s="27" t="inlineStr">
        <is>
          <t>Meta</t>
        </is>
      </c>
      <c r="C45" s="28" t="inlineStr">
        <is>
          <t>VIAJES - INTERESES - Paso 4</t>
        </is>
      </c>
      <c r="D45" s="29" t="inlineStr">
        <is>
          <t>inactive</t>
        </is>
      </c>
      <c r="E45" s="8" t="n">
        <v>0</v>
      </c>
      <c r="F45" s="9" t="n">
        <v>0</v>
      </c>
      <c r="G45" s="10" t="n">
        <v>0</v>
      </c>
      <c r="H45" s="9" t="n">
        <v>0</v>
      </c>
      <c r="I45" s="10" t="n">
        <v>0</v>
      </c>
      <c r="J45" s="9" t="n">
        <v>0</v>
      </c>
      <c r="K45" s="8" t="n">
        <v>0</v>
      </c>
    </row>
    <row r="46">
      <c r="A46" s="26" t="inlineStr">
        <is>
          <t>Viajes</t>
        </is>
      </c>
      <c r="B46" s="27" t="inlineStr">
        <is>
          <t>Meta</t>
        </is>
      </c>
      <c r="C46" s="28" t="inlineStr">
        <is>
          <t>VIAJES - RMKT - Paso 4</t>
        </is>
      </c>
      <c r="D46" s="29" t="inlineStr">
        <is>
          <t>inactive</t>
        </is>
      </c>
      <c r="E46" s="8" t="n">
        <v>0</v>
      </c>
      <c r="F46" s="9" t="n">
        <v>0</v>
      </c>
      <c r="G46" s="10" t="n">
        <v>0</v>
      </c>
      <c r="H46" s="9" t="n">
        <v>0</v>
      </c>
      <c r="I46" s="10" t="n">
        <v>0</v>
      </c>
      <c r="J46" s="9" t="n">
        <v>0</v>
      </c>
      <c r="K46" s="8" t="n">
        <v>0</v>
      </c>
    </row>
    <row r="47">
      <c r="A47" s="26" t="inlineStr">
        <is>
          <t>Motos</t>
        </is>
      </c>
      <c r="B47" s="27" t="inlineStr">
        <is>
          <t>Meta</t>
        </is>
      </c>
      <c r="C47" s="28" t="inlineStr">
        <is>
          <t>MOTO - Medellín Yamaha - Planes</t>
        </is>
      </c>
      <c r="D47" s="29" t="inlineStr">
        <is>
          <t>inactive</t>
        </is>
      </c>
      <c r="E47" s="8" t="n">
        <v>0</v>
      </c>
      <c r="F47" s="9" t="n">
        <v>0</v>
      </c>
      <c r="G47" s="10" t="n">
        <v>0</v>
      </c>
      <c r="H47" s="9" t="n">
        <v>0</v>
      </c>
      <c r="I47" s="10" t="n">
        <v>0</v>
      </c>
      <c r="J47" s="9" t="n">
        <v>0</v>
      </c>
      <c r="K47" s="8" t="n">
        <v>0</v>
      </c>
    </row>
    <row r="48">
      <c r="A48" s="26" t="inlineStr">
        <is>
          <t>Motos</t>
        </is>
      </c>
      <c r="B48" s="27" t="inlineStr">
        <is>
          <t>Meta</t>
        </is>
      </c>
      <c r="C48" s="28" t="inlineStr">
        <is>
          <t>MOTO - Bogotá Suzuki</t>
        </is>
      </c>
      <c r="D48" s="29" t="inlineStr">
        <is>
          <t>inactive</t>
        </is>
      </c>
      <c r="E48" s="8" t="n">
        <v>0</v>
      </c>
      <c r="F48" s="9" t="n">
        <v>0</v>
      </c>
      <c r="G48" s="10" t="n">
        <v>0</v>
      </c>
      <c r="H48" s="9" t="n">
        <v>0</v>
      </c>
      <c r="I48" s="10" t="n">
        <v>0</v>
      </c>
      <c r="J48" s="9" t="n">
        <v>0</v>
      </c>
      <c r="K48" s="8" t="n">
        <v>0</v>
      </c>
    </row>
    <row r="49">
      <c r="A49" s="26" t="inlineStr">
        <is>
          <t>Motos</t>
        </is>
      </c>
      <c r="B49" s="27" t="inlineStr">
        <is>
          <t>Meta</t>
        </is>
      </c>
      <c r="C49" s="28" t="inlineStr">
        <is>
          <t>MOTO - Cali Bajaj</t>
        </is>
      </c>
      <c r="D49" s="29" t="inlineStr">
        <is>
          <t>inactive</t>
        </is>
      </c>
      <c r="E49" s="8" t="n">
        <v>0</v>
      </c>
      <c r="F49" s="9" t="n">
        <v>0</v>
      </c>
      <c r="G49" s="10" t="n">
        <v>0</v>
      </c>
      <c r="H49" s="9" t="n">
        <v>0</v>
      </c>
      <c r="I49" s="10" t="n">
        <v>0</v>
      </c>
      <c r="J49" s="9" t="n">
        <v>0</v>
      </c>
      <c r="K49" s="8" t="n">
        <v>0</v>
      </c>
    </row>
    <row r="50">
      <c r="A50" s="26" t="inlineStr">
        <is>
          <t>Motos</t>
        </is>
      </c>
      <c r="B50" s="27" t="inlineStr">
        <is>
          <t>Meta</t>
        </is>
      </c>
      <c r="C50" s="28" t="inlineStr">
        <is>
          <t>MOTO - Medellín Yamaha</t>
        </is>
      </c>
      <c r="D50" s="29" t="inlineStr">
        <is>
          <t>inactive</t>
        </is>
      </c>
      <c r="E50" s="8" t="n">
        <v>0</v>
      </c>
      <c r="F50" s="9" t="n">
        <v>0</v>
      </c>
      <c r="G50" s="10" t="n">
        <v>0</v>
      </c>
      <c r="H50" s="9" t="n">
        <v>0</v>
      </c>
      <c r="I50" s="10" t="n">
        <v>0</v>
      </c>
      <c r="J50" s="9" t="n">
        <v>0</v>
      </c>
      <c r="K50" s="8" t="n">
        <v>0</v>
      </c>
    </row>
    <row r="51">
      <c r="A51" s="26" t="inlineStr">
        <is>
          <t>Motos</t>
        </is>
      </c>
      <c r="B51" s="27" t="inlineStr">
        <is>
          <t>Meta</t>
        </is>
      </c>
      <c r="C51" s="28" t="inlineStr">
        <is>
          <t>MOTO - RMKT</t>
        </is>
      </c>
      <c r="D51" s="29" t="inlineStr">
        <is>
          <t>inactive</t>
        </is>
      </c>
      <c r="E51" s="8" t="n">
        <v>0</v>
      </c>
      <c r="F51" s="9" t="n">
        <v>0</v>
      </c>
      <c r="G51" s="10" t="n">
        <v>0</v>
      </c>
      <c r="H51" s="9" t="n">
        <v>0</v>
      </c>
      <c r="I51" s="10" t="n">
        <v>0</v>
      </c>
      <c r="J51" s="9" t="n">
        <v>0</v>
      </c>
      <c r="K51" s="8" t="n">
        <v>0</v>
      </c>
    </row>
    <row r="52">
      <c r="A52" s="26" t="inlineStr">
        <is>
          <t>Motos</t>
        </is>
      </c>
      <c r="B52" s="27" t="inlineStr">
        <is>
          <t>Meta</t>
        </is>
      </c>
      <c r="C52" s="28" t="inlineStr">
        <is>
          <t>MOTO - INTERESES</t>
        </is>
      </c>
      <c r="D52" s="29" t="inlineStr">
        <is>
          <t>inactive</t>
        </is>
      </c>
      <c r="E52" s="8" t="n">
        <v>0</v>
      </c>
      <c r="F52" s="9" t="n">
        <v>0</v>
      </c>
      <c r="G52" s="10" t="n">
        <v>0</v>
      </c>
      <c r="H52" s="9" t="n">
        <v>0</v>
      </c>
      <c r="I52" s="10" t="n">
        <v>0</v>
      </c>
      <c r="J52" s="9" t="n">
        <v>0</v>
      </c>
      <c r="K52" s="8" t="n">
        <v>0</v>
      </c>
    </row>
    <row r="53">
      <c r="A53" s="26" t="inlineStr">
        <is>
          <t>Autos</t>
        </is>
      </c>
      <c r="B53" s="27" t="inlineStr">
        <is>
          <t>Meta</t>
        </is>
      </c>
      <c r="C53" s="28" t="inlineStr">
        <is>
          <t>AUTO - RMKT</t>
        </is>
      </c>
      <c r="D53" s="29" t="inlineStr">
        <is>
          <t>inactive</t>
        </is>
      </c>
      <c r="E53" s="8" t="n">
        <v>0</v>
      </c>
      <c r="F53" s="9" t="n">
        <v>0</v>
      </c>
      <c r="G53" s="10" t="n">
        <v>0</v>
      </c>
      <c r="H53" s="9" t="n">
        <v>0</v>
      </c>
      <c r="I53" s="10" t="n">
        <v>0</v>
      </c>
      <c r="J53" s="9" t="n">
        <v>0</v>
      </c>
      <c r="K53" s="8" t="n">
        <v>0</v>
      </c>
    </row>
    <row r="54">
      <c r="A54" s="26" t="inlineStr">
        <is>
          <t>Autos</t>
        </is>
      </c>
      <c r="B54" s="27" t="inlineStr">
        <is>
          <t>Meta</t>
        </is>
      </c>
      <c r="C54" s="28" t="inlineStr">
        <is>
          <t>AUTO - INTERESES</t>
        </is>
      </c>
      <c r="D54" s="29" t="inlineStr">
        <is>
          <t>inactive</t>
        </is>
      </c>
      <c r="E54" s="8" t="n">
        <v>0</v>
      </c>
      <c r="F54" s="9" t="n">
        <v>0</v>
      </c>
      <c r="G54" s="10" t="n">
        <v>0</v>
      </c>
      <c r="H54" s="9" t="n">
        <v>0</v>
      </c>
      <c r="I54" s="10" t="n">
        <v>0</v>
      </c>
      <c r="J54" s="9" t="n">
        <v>0</v>
      </c>
      <c r="K54" s="8" t="n">
        <v>0</v>
      </c>
    </row>
    <row r="55">
      <c r="A55" s="26" t="inlineStr">
        <is>
          <t>Viajes</t>
        </is>
      </c>
      <c r="B55" s="27" t="inlineStr">
        <is>
          <t>Meta</t>
        </is>
      </c>
      <c r="C55" s="28" t="inlineStr">
        <is>
          <t>VIAJES - RMKT</t>
        </is>
      </c>
      <c r="D55" s="29" t="inlineStr">
        <is>
          <t>inactive</t>
        </is>
      </c>
      <c r="E55" s="8" t="n">
        <v>0</v>
      </c>
      <c r="F55" s="9" t="n">
        <v>0</v>
      </c>
      <c r="G55" s="10" t="n">
        <v>0</v>
      </c>
      <c r="H55" s="9" t="n">
        <v>0</v>
      </c>
      <c r="I55" s="10" t="n">
        <v>0</v>
      </c>
      <c r="J55" s="9" t="n">
        <v>0</v>
      </c>
      <c r="K55" s="8" t="n">
        <v>0</v>
      </c>
    </row>
    <row r="56">
      <c r="A56" s="26" t="inlineStr">
        <is>
          <t>Viajes</t>
        </is>
      </c>
      <c r="B56" s="27" t="inlineStr">
        <is>
          <t>Meta</t>
        </is>
      </c>
      <c r="C56" s="28" t="inlineStr">
        <is>
          <t>VIAJES - INTERESES</t>
        </is>
      </c>
      <c r="D56" s="29" t="inlineStr">
        <is>
          <t>inactive</t>
        </is>
      </c>
      <c r="E56" s="8" t="n">
        <v>0</v>
      </c>
      <c r="F56" s="9" t="n">
        <v>0</v>
      </c>
      <c r="G56" s="10" t="n">
        <v>0</v>
      </c>
      <c r="H56" s="9" t="n">
        <v>0</v>
      </c>
      <c r="I56" s="10" t="n">
        <v>0</v>
      </c>
      <c r="J56" s="9" t="n">
        <v>0</v>
      </c>
      <c r="K56" s="8" t="n">
        <v>0</v>
      </c>
    </row>
    <row r="58">
      <c r="A58" s="38" t="inlineStr">
        <is>
          <t>Campañas con ROI cero (Spend &gt; $50 USD, Leads SF = 0): 5. Revisar UTMs / atribución / pausar.</t>
        </is>
      </c>
    </row>
  </sheetData>
  <mergeCells count="3">
    <mergeCell ref="A2:K2"/>
    <mergeCell ref="A58:K58"/>
    <mergeCell ref="A1:K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K50"/>
  <sheetViews>
    <sheetView workbookViewId="0">
      <selection activeCell="A1" sqref="A1"/>
    </sheetView>
  </sheetViews>
  <sheetFormatPr baseColWidth="8" defaultRowHeight="15"/>
  <cols>
    <col width="14" customWidth="1" min="1" max="1"/>
    <col width="12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4" t="inlineStr">
        <is>
          <t>CAC Real · Inversión ÷ Pólizas Emitidas (Sheet BI)</t>
        </is>
      </c>
    </row>
    <row r="2" ht="30" customHeight="1">
      <c r="A2" s="22" t="inlineStr">
        <is>
          <t>CAC = costo de adquirir 1 venta cerrada (póliza emitida). Es el indicador FINAL del negocio — no leads, no clicks: pólizas reales que pagan prima.</t>
        </is>
      </c>
    </row>
    <row r="4" ht="32" customHeight="1">
      <c r="A4" s="3" t="inlineStr">
        <is>
          <t>Producto</t>
        </is>
      </c>
      <c r="B4" s="3" t="inlineStr">
        <is>
          <t>Plataforma</t>
        </is>
      </c>
      <c r="C4" s="3" t="inlineStr">
        <is>
          <t>Mes</t>
        </is>
      </c>
      <c r="D4" s="3" t="inlineStr">
        <is>
          <t>Spend (US$)</t>
        </is>
      </c>
      <c r="E4" s="3" t="inlineStr">
        <is>
          <t>Pólizas</t>
        </is>
      </c>
      <c r="F4" s="3" t="inlineStr">
        <is>
          <t>CAC (US$)</t>
        </is>
      </c>
      <c r="G4" s="3" t="inlineStr">
        <is>
          <t>Prima emitida (COP)</t>
        </is>
      </c>
      <c r="H4" s="3" t="inlineStr">
        <is>
          <t>ROAS (Prima/Spend)*</t>
        </is>
      </c>
    </row>
    <row r="5">
      <c r="A5" s="15" t="inlineStr">
        <is>
          <t>Autos</t>
        </is>
      </c>
      <c r="B5" s="20" t="inlineStr">
        <is>
          <t>Google</t>
        </is>
      </c>
      <c r="C5" s="23" t="inlineStr">
        <is>
          <t>Ene</t>
        </is>
      </c>
      <c r="D5" s="8" t="n">
        <v>26333</v>
      </c>
      <c r="E5" s="9" t="n">
        <v>19</v>
      </c>
      <c r="F5" s="8" t="n">
        <v>1386</v>
      </c>
      <c r="G5" s="8" t="n">
        <v>40818591</v>
      </c>
      <c r="H5" s="39" t="n">
        <v>0.4</v>
      </c>
    </row>
    <row r="6">
      <c r="A6" s="15" t="inlineStr">
        <is>
          <t>Autos</t>
        </is>
      </c>
      <c r="B6" s="20" t="inlineStr">
        <is>
          <t>Google</t>
        </is>
      </c>
      <c r="C6" s="23" t="inlineStr">
        <is>
          <t>Feb</t>
        </is>
      </c>
      <c r="D6" s="8" t="n">
        <v>28539</v>
      </c>
      <c r="E6" s="9" t="n">
        <v>9</v>
      </c>
      <c r="F6" s="8" t="n">
        <v>3171</v>
      </c>
      <c r="G6" s="8" t="n">
        <v>14432111</v>
      </c>
      <c r="H6" s="39" t="n">
        <v>0.1</v>
      </c>
    </row>
    <row r="7">
      <c r="A7" s="15" t="inlineStr">
        <is>
          <t>Autos</t>
        </is>
      </c>
      <c r="B7" s="20" t="inlineStr">
        <is>
          <t>Google</t>
        </is>
      </c>
      <c r="C7" s="23" t="inlineStr">
        <is>
          <t>Mar</t>
        </is>
      </c>
      <c r="D7" s="8" t="n">
        <v>26309</v>
      </c>
      <c r="E7" s="9" t="n">
        <v>6</v>
      </c>
      <c r="F7" s="8" t="n">
        <v>4385</v>
      </c>
      <c r="G7" s="8" t="n">
        <v>9444228</v>
      </c>
      <c r="H7" s="39" t="n">
        <v>0.1</v>
      </c>
    </row>
    <row r="8">
      <c r="A8" s="15" t="inlineStr">
        <is>
          <t>Autos</t>
        </is>
      </c>
      <c r="B8" s="20" t="inlineStr">
        <is>
          <t>Google</t>
        </is>
      </c>
      <c r="C8" s="23" t="inlineStr">
        <is>
          <t>Abr</t>
        </is>
      </c>
      <c r="D8" s="8" t="n">
        <v>28242</v>
      </c>
      <c r="E8" s="9" t="n">
        <v>0</v>
      </c>
      <c r="F8" s="8" t="n">
        <v>0</v>
      </c>
      <c r="G8" s="8" t="n">
        <v>0</v>
      </c>
      <c r="H8" s="40" t="n">
        <v>0</v>
      </c>
    </row>
    <row r="9">
      <c r="A9" s="15" t="inlineStr">
        <is>
          <t>Autos</t>
        </is>
      </c>
      <c r="B9" s="20" t="inlineStr">
        <is>
          <t>Meta</t>
        </is>
      </c>
      <c r="C9" s="23" t="inlineStr">
        <is>
          <t>Ene</t>
        </is>
      </c>
      <c r="D9" s="8" t="n">
        <v>13662</v>
      </c>
      <c r="E9" s="9" t="n">
        <v>4</v>
      </c>
      <c r="F9" s="8" t="n">
        <v>3416</v>
      </c>
      <c r="G9" s="8" t="n">
        <v>13090049</v>
      </c>
      <c r="H9" s="39" t="n">
        <v>0.2</v>
      </c>
    </row>
    <row r="10">
      <c r="A10" s="15" t="inlineStr">
        <is>
          <t>Autos</t>
        </is>
      </c>
      <c r="B10" s="20" t="inlineStr">
        <is>
          <t>Meta</t>
        </is>
      </c>
      <c r="C10" s="23" t="inlineStr">
        <is>
          <t>Feb</t>
        </is>
      </c>
      <c r="D10" s="8" t="n">
        <v>15350</v>
      </c>
      <c r="E10" s="9" t="n">
        <v>3</v>
      </c>
      <c r="F10" s="8" t="n">
        <v>5117</v>
      </c>
      <c r="G10" s="8" t="n">
        <v>6375048</v>
      </c>
      <c r="H10" s="39" t="n">
        <v>0.1</v>
      </c>
    </row>
    <row r="11">
      <c r="A11" s="15" t="inlineStr">
        <is>
          <t>Autos</t>
        </is>
      </c>
      <c r="B11" s="20" t="inlineStr">
        <is>
          <t>Meta</t>
        </is>
      </c>
      <c r="C11" s="23" t="inlineStr">
        <is>
          <t>Mar</t>
        </is>
      </c>
      <c r="D11" s="8" t="n">
        <v>13988</v>
      </c>
      <c r="E11" s="9" t="n">
        <v>3</v>
      </c>
      <c r="F11" s="8" t="n">
        <v>4663</v>
      </c>
      <c r="G11" s="8" t="n">
        <v>3955128</v>
      </c>
      <c r="H11" s="39" t="n">
        <v>0.1</v>
      </c>
    </row>
    <row r="12">
      <c r="A12" s="15" t="inlineStr">
        <is>
          <t>Autos</t>
        </is>
      </c>
      <c r="B12" s="20" t="inlineStr">
        <is>
          <t>Meta</t>
        </is>
      </c>
      <c r="C12" s="23" t="inlineStr">
        <is>
          <t>Abr</t>
        </is>
      </c>
      <c r="D12" s="8" t="n">
        <v>10120</v>
      </c>
      <c r="E12" s="9" t="n">
        <v>0</v>
      </c>
      <c r="F12" s="8" t="n">
        <v>0</v>
      </c>
      <c r="G12" s="8" t="n">
        <v>0</v>
      </c>
      <c r="H12" s="40" t="n">
        <v>0</v>
      </c>
    </row>
    <row r="13">
      <c r="A13" s="15" t="inlineStr">
        <is>
          <t>Motos</t>
        </is>
      </c>
      <c r="B13" s="20" t="inlineStr">
        <is>
          <t>Google</t>
        </is>
      </c>
      <c r="C13" s="23" t="inlineStr">
        <is>
          <t>Ene</t>
        </is>
      </c>
      <c r="D13" s="8" t="n">
        <v>9167</v>
      </c>
      <c r="E13" s="9" t="n">
        <v>220</v>
      </c>
      <c r="F13" s="8" t="n">
        <v>42</v>
      </c>
      <c r="G13" s="8" t="n">
        <v>125635698</v>
      </c>
      <c r="H13" s="40" t="n">
        <v>3.4</v>
      </c>
    </row>
    <row r="14">
      <c r="A14" s="15" t="inlineStr">
        <is>
          <t>Motos</t>
        </is>
      </c>
      <c r="B14" s="20" t="inlineStr">
        <is>
          <t>Google</t>
        </is>
      </c>
      <c r="C14" s="23" t="inlineStr">
        <is>
          <t>Feb</t>
        </is>
      </c>
      <c r="D14" s="8" t="n">
        <v>16853</v>
      </c>
      <c r="E14" s="9" t="n">
        <v>270</v>
      </c>
      <c r="F14" s="8" t="n">
        <v>62</v>
      </c>
      <c r="G14" s="8" t="n">
        <v>157211793</v>
      </c>
      <c r="H14" s="40" t="n">
        <v>2.3</v>
      </c>
    </row>
    <row r="15">
      <c r="A15" s="15" t="inlineStr">
        <is>
          <t>Motos</t>
        </is>
      </c>
      <c r="B15" s="20" t="inlineStr">
        <is>
          <t>Google</t>
        </is>
      </c>
      <c r="C15" s="23" t="inlineStr">
        <is>
          <t>Mar</t>
        </is>
      </c>
      <c r="D15" s="8" t="n">
        <v>17494</v>
      </c>
      <c r="E15" s="9" t="n">
        <v>316</v>
      </c>
      <c r="F15" s="8" t="n">
        <v>55</v>
      </c>
      <c r="G15" s="8" t="n">
        <v>175544313</v>
      </c>
      <c r="H15" s="40" t="n">
        <v>2.5</v>
      </c>
    </row>
    <row r="16">
      <c r="A16" s="15" t="inlineStr">
        <is>
          <t>Motos</t>
        </is>
      </c>
      <c r="B16" s="20" t="inlineStr">
        <is>
          <t>Google</t>
        </is>
      </c>
      <c r="C16" s="23" t="inlineStr">
        <is>
          <t>Abr</t>
        </is>
      </c>
      <c r="D16" s="8" t="n">
        <v>17508</v>
      </c>
      <c r="E16" s="9" t="n">
        <v>194</v>
      </c>
      <c r="F16" s="8" t="n">
        <v>90</v>
      </c>
      <c r="G16" s="8" t="n">
        <v>116449445</v>
      </c>
      <c r="H16" s="40" t="n">
        <v>1.7</v>
      </c>
    </row>
    <row r="17">
      <c r="A17" s="15" t="inlineStr">
        <is>
          <t>Motos</t>
        </is>
      </c>
      <c r="B17" s="20" t="inlineStr">
        <is>
          <t>Meta</t>
        </is>
      </c>
      <c r="C17" s="23" t="inlineStr">
        <is>
          <t>Ene</t>
        </is>
      </c>
      <c r="D17" s="8" t="n">
        <v>7847</v>
      </c>
      <c r="E17" s="9" t="n">
        <v>235</v>
      </c>
      <c r="F17" s="8" t="n">
        <v>33</v>
      </c>
      <c r="G17" s="8" t="n">
        <v>128593285</v>
      </c>
      <c r="H17" s="40" t="n">
        <v>4.1</v>
      </c>
    </row>
    <row r="18">
      <c r="A18" s="15" t="inlineStr">
        <is>
          <t>Motos</t>
        </is>
      </c>
      <c r="B18" s="20" t="inlineStr">
        <is>
          <t>Meta</t>
        </is>
      </c>
      <c r="C18" s="23" t="inlineStr">
        <is>
          <t>Feb</t>
        </is>
      </c>
      <c r="D18" s="8" t="n">
        <v>11320</v>
      </c>
      <c r="E18" s="9" t="n">
        <v>176</v>
      </c>
      <c r="F18" s="8" t="n">
        <v>64</v>
      </c>
      <c r="G18" s="8" t="n">
        <v>93300721</v>
      </c>
      <c r="H18" s="40" t="n">
        <v>2.1</v>
      </c>
    </row>
    <row r="19">
      <c r="A19" s="15" t="inlineStr">
        <is>
          <t>Motos</t>
        </is>
      </c>
      <c r="B19" s="20" t="inlineStr">
        <is>
          <t>Meta</t>
        </is>
      </c>
      <c r="C19" s="23" t="inlineStr">
        <is>
          <t>Mar</t>
        </is>
      </c>
      <c r="D19" s="8" t="n">
        <v>12548</v>
      </c>
      <c r="E19" s="9" t="n">
        <v>124</v>
      </c>
      <c r="F19" s="8" t="n">
        <v>101</v>
      </c>
      <c r="G19" s="8" t="n">
        <v>67968870</v>
      </c>
      <c r="H19" s="40" t="n">
        <v>1.4</v>
      </c>
    </row>
    <row r="20">
      <c r="A20" s="15" t="inlineStr">
        <is>
          <t>Motos</t>
        </is>
      </c>
      <c r="B20" s="20" t="inlineStr">
        <is>
          <t>Meta</t>
        </is>
      </c>
      <c r="C20" s="23" t="inlineStr">
        <is>
          <t>Abr</t>
        </is>
      </c>
      <c r="D20" s="8" t="n">
        <v>6272</v>
      </c>
      <c r="E20" s="9" t="n">
        <v>81</v>
      </c>
      <c r="F20" s="8" t="n">
        <v>77</v>
      </c>
      <c r="G20" s="8" t="n">
        <v>42861920</v>
      </c>
      <c r="H20" s="40" t="n">
        <v>1.7</v>
      </c>
    </row>
    <row r="21">
      <c r="A21" s="15" t="inlineStr">
        <is>
          <t>Viajes</t>
        </is>
      </c>
      <c r="B21" s="20" t="inlineStr">
        <is>
          <t>Google</t>
        </is>
      </c>
      <c r="C21" s="23" t="inlineStr">
        <is>
          <t>Ene</t>
        </is>
      </c>
      <c r="D21" s="8" t="n">
        <v>6001</v>
      </c>
      <c r="E21" s="9" t="n">
        <v>102</v>
      </c>
      <c r="F21" s="8" t="n">
        <v>59</v>
      </c>
      <c r="G21" s="8" t="n">
        <v>35079975</v>
      </c>
      <c r="H21" s="40" t="n">
        <v>1.5</v>
      </c>
    </row>
    <row r="22">
      <c r="A22" s="15" t="inlineStr">
        <is>
          <t>Viajes</t>
        </is>
      </c>
      <c r="B22" s="20" t="inlineStr">
        <is>
          <t>Google</t>
        </is>
      </c>
      <c r="C22" s="23" t="inlineStr">
        <is>
          <t>Feb</t>
        </is>
      </c>
      <c r="D22" s="8" t="n">
        <v>6472</v>
      </c>
      <c r="E22" s="9" t="n">
        <v>120</v>
      </c>
      <c r="F22" s="8" t="n">
        <v>54</v>
      </c>
      <c r="G22" s="8" t="n">
        <v>47758285</v>
      </c>
      <c r="H22" s="40" t="n">
        <v>1.8</v>
      </c>
    </row>
    <row r="23">
      <c r="A23" s="15" t="inlineStr">
        <is>
          <t>Viajes</t>
        </is>
      </c>
      <c r="B23" s="20" t="inlineStr">
        <is>
          <t>Google</t>
        </is>
      </c>
      <c r="C23" s="23" t="inlineStr">
        <is>
          <t>Mar</t>
        </is>
      </c>
      <c r="D23" s="8" t="n">
        <v>6888</v>
      </c>
      <c r="E23" s="9" t="n">
        <v>132</v>
      </c>
      <c r="F23" s="8" t="n">
        <v>52</v>
      </c>
      <c r="G23" s="8" t="n">
        <v>55590514</v>
      </c>
      <c r="H23" s="40" t="n">
        <v>2</v>
      </c>
    </row>
    <row r="24">
      <c r="A24" s="15" t="inlineStr">
        <is>
          <t>Viajes</t>
        </is>
      </c>
      <c r="B24" s="20" t="inlineStr">
        <is>
          <t>Google</t>
        </is>
      </c>
      <c r="C24" s="23" t="inlineStr">
        <is>
          <t>Abr</t>
        </is>
      </c>
      <c r="D24" s="8" t="n">
        <v>7843</v>
      </c>
      <c r="E24" s="9" t="n">
        <v>107</v>
      </c>
      <c r="F24" s="8" t="n">
        <v>73</v>
      </c>
      <c r="G24" s="8" t="n">
        <v>42356663</v>
      </c>
      <c r="H24" s="40" t="n">
        <v>1.4</v>
      </c>
    </row>
    <row r="25">
      <c r="A25" s="15" t="inlineStr">
        <is>
          <t>Viajes</t>
        </is>
      </c>
      <c r="B25" s="20" t="inlineStr">
        <is>
          <t>Meta</t>
        </is>
      </c>
      <c r="C25" s="23" t="inlineStr">
        <is>
          <t>Ene</t>
        </is>
      </c>
      <c r="D25" s="8" t="n">
        <v>3122</v>
      </c>
      <c r="E25" s="9" t="n">
        <v>13</v>
      </c>
      <c r="F25" s="8" t="n">
        <v>240</v>
      </c>
      <c r="G25" s="8" t="n">
        <v>4502929</v>
      </c>
      <c r="H25" s="39" t="n">
        <v>0.4</v>
      </c>
    </row>
    <row r="26">
      <c r="A26" s="15" t="inlineStr">
        <is>
          <t>Viajes</t>
        </is>
      </c>
      <c r="B26" s="20" t="inlineStr">
        <is>
          <t>Meta</t>
        </is>
      </c>
      <c r="C26" s="23" t="inlineStr">
        <is>
          <t>Feb</t>
        </is>
      </c>
      <c r="D26" s="8" t="n">
        <v>3488</v>
      </c>
      <c r="E26" s="9" t="n">
        <v>6</v>
      </c>
      <c r="F26" s="8" t="n">
        <v>581</v>
      </c>
      <c r="G26" s="8" t="n">
        <v>2389052</v>
      </c>
      <c r="H26" s="39" t="n">
        <v>0.2</v>
      </c>
    </row>
    <row r="27">
      <c r="A27" s="15" t="inlineStr">
        <is>
          <t>Viajes</t>
        </is>
      </c>
      <c r="B27" s="20" t="inlineStr">
        <is>
          <t>Meta</t>
        </is>
      </c>
      <c r="C27" s="23" t="inlineStr">
        <is>
          <t>Mar</t>
        </is>
      </c>
      <c r="D27" s="8" t="n">
        <v>3733</v>
      </c>
      <c r="E27" s="9" t="n">
        <v>21</v>
      </c>
      <c r="F27" s="8" t="n">
        <v>178</v>
      </c>
      <c r="G27" s="8" t="n">
        <v>6633816</v>
      </c>
      <c r="H27" s="39" t="n">
        <v>0.4</v>
      </c>
    </row>
    <row r="28">
      <c r="A28" s="15" t="inlineStr">
        <is>
          <t>Viajes</t>
        </is>
      </c>
      <c r="B28" s="20" t="inlineStr">
        <is>
          <t>Meta</t>
        </is>
      </c>
      <c r="C28" s="23" t="inlineStr">
        <is>
          <t>Abr</t>
        </is>
      </c>
      <c r="D28" s="8" t="n">
        <v>2952</v>
      </c>
      <c r="E28" s="9" t="n">
        <v>12</v>
      </c>
      <c r="F28" s="8" t="n">
        <v>246</v>
      </c>
      <c r="G28" s="8" t="n">
        <v>4774911</v>
      </c>
      <c r="H28" s="39" t="n">
        <v>0.4</v>
      </c>
    </row>
    <row r="29">
      <c r="A29" s="15" t="inlineStr">
        <is>
          <t>Arriendo</t>
        </is>
      </c>
      <c r="B29" s="20" t="inlineStr">
        <is>
          <t>Google</t>
        </is>
      </c>
      <c r="C29" s="23" t="inlineStr">
        <is>
          <t>Ene</t>
        </is>
      </c>
      <c r="D29" s="8" t="n">
        <v>14613</v>
      </c>
      <c r="E29" s="9" t="n">
        <v>743</v>
      </c>
      <c r="F29" s="8" t="n">
        <v>20</v>
      </c>
      <c r="G29" s="8" t="n">
        <v>507504066</v>
      </c>
      <c r="H29" s="41" t="n">
        <v>8.699999999999999</v>
      </c>
    </row>
    <row r="30">
      <c r="A30" s="15" t="inlineStr">
        <is>
          <t>Arriendo</t>
        </is>
      </c>
      <c r="B30" s="20" t="inlineStr">
        <is>
          <t>Google</t>
        </is>
      </c>
      <c r="C30" s="23" t="inlineStr">
        <is>
          <t>Feb</t>
        </is>
      </c>
      <c r="D30" s="8" t="n">
        <v>10100</v>
      </c>
      <c r="E30" s="9" t="n">
        <v>615</v>
      </c>
      <c r="F30" s="8" t="n">
        <v>16</v>
      </c>
      <c r="G30" s="8" t="n">
        <v>438150566</v>
      </c>
      <c r="H30" s="41" t="n">
        <v>10.8</v>
      </c>
    </row>
    <row r="31">
      <c r="A31" s="15" t="inlineStr">
        <is>
          <t>Arriendo</t>
        </is>
      </c>
      <c r="B31" s="20" t="inlineStr">
        <is>
          <t>Google</t>
        </is>
      </c>
      <c r="C31" s="23" t="inlineStr">
        <is>
          <t>Mar</t>
        </is>
      </c>
      <c r="D31" s="8" t="n">
        <v>13803</v>
      </c>
      <c r="E31" s="9" t="n">
        <v>638</v>
      </c>
      <c r="F31" s="8" t="n">
        <v>22</v>
      </c>
      <c r="G31" s="8" t="n">
        <v>457616434</v>
      </c>
      <c r="H31" s="41" t="n">
        <v>8.300000000000001</v>
      </c>
    </row>
    <row r="32">
      <c r="A32" s="15" t="inlineStr">
        <is>
          <t>Arriendo</t>
        </is>
      </c>
      <c r="B32" s="20" t="inlineStr">
        <is>
          <t>Google</t>
        </is>
      </c>
      <c r="C32" s="23" t="inlineStr">
        <is>
          <t>Abr</t>
        </is>
      </c>
      <c r="D32" s="8" t="n">
        <v>19754</v>
      </c>
      <c r="E32" s="9" t="n">
        <v>481</v>
      </c>
      <c r="F32" s="8" t="n">
        <v>41</v>
      </c>
      <c r="G32" s="8" t="n">
        <v>337240331</v>
      </c>
      <c r="H32" s="40" t="n">
        <v>4.3</v>
      </c>
    </row>
    <row r="33">
      <c r="A33" s="15" t="inlineStr">
        <is>
          <t>Arriendo</t>
        </is>
      </c>
      <c r="B33" s="20" t="inlineStr">
        <is>
          <t>Meta</t>
        </is>
      </c>
      <c r="C33" s="23" t="inlineStr">
        <is>
          <t>Ene</t>
        </is>
      </c>
      <c r="D33" s="8" t="n">
        <v>21159</v>
      </c>
      <c r="E33" s="9" t="n">
        <v>24</v>
      </c>
      <c r="F33" s="8" t="n">
        <v>882</v>
      </c>
      <c r="G33" s="8" t="n">
        <v>14275935</v>
      </c>
      <c r="H33" s="39" t="n">
        <v>0.2</v>
      </c>
    </row>
    <row r="34">
      <c r="A34" s="15" t="inlineStr">
        <is>
          <t>Arriendo</t>
        </is>
      </c>
      <c r="B34" s="20" t="inlineStr">
        <is>
          <t>Meta</t>
        </is>
      </c>
      <c r="C34" s="23" t="inlineStr">
        <is>
          <t>Feb</t>
        </is>
      </c>
      <c r="D34" s="8" t="n">
        <v>11626</v>
      </c>
      <c r="E34" s="9" t="n">
        <v>17</v>
      </c>
      <c r="F34" s="8" t="n">
        <v>684</v>
      </c>
      <c r="G34" s="8" t="n">
        <v>10851328</v>
      </c>
      <c r="H34" s="39" t="n">
        <v>0.2</v>
      </c>
    </row>
    <row r="35">
      <c r="A35" s="15" t="inlineStr">
        <is>
          <t>Arriendo</t>
        </is>
      </c>
      <c r="B35" s="20" t="inlineStr">
        <is>
          <t>Meta</t>
        </is>
      </c>
      <c r="C35" s="23" t="inlineStr">
        <is>
          <t>Mar</t>
        </is>
      </c>
      <c r="D35" s="8" t="n">
        <v>17664</v>
      </c>
      <c r="E35" s="9" t="n">
        <v>14</v>
      </c>
      <c r="F35" s="8" t="n">
        <v>1262</v>
      </c>
      <c r="G35" s="8" t="n">
        <v>10628607</v>
      </c>
      <c r="H35" s="39" t="n">
        <v>0.2</v>
      </c>
    </row>
    <row r="36">
      <c r="A36" s="15" t="inlineStr">
        <is>
          <t>Arriendo</t>
        </is>
      </c>
      <c r="B36" s="20" t="inlineStr">
        <is>
          <t>Meta</t>
        </is>
      </c>
      <c r="C36" s="23" t="inlineStr">
        <is>
          <t>Abr</t>
        </is>
      </c>
      <c r="D36" s="8" t="n">
        <v>8490</v>
      </c>
      <c r="E36" s="9" t="n">
        <v>9</v>
      </c>
      <c r="F36" s="8" t="n">
        <v>943</v>
      </c>
      <c r="G36" s="8" t="n">
        <v>6186639</v>
      </c>
      <c r="H36" s="39" t="n">
        <v>0.2</v>
      </c>
    </row>
    <row r="39">
      <c r="A39" s="4" t="inlineStr">
        <is>
          <t>RESUMEN TOTAL Ene–Abr · CAC y ROAS</t>
        </is>
      </c>
      <c r="B39" s="5" t="n"/>
      <c r="C39" s="5" t="n"/>
      <c r="D39" s="5" t="n"/>
      <c r="E39" s="5" t="n"/>
      <c r="F39" s="5" t="n"/>
      <c r="G39" s="5" t="n"/>
      <c r="H39" s="6" t="n"/>
    </row>
    <row r="40">
      <c r="A40" s="3" t="inlineStr">
        <is>
          <t>Producto</t>
        </is>
      </c>
      <c r="B40" s="3" t="inlineStr">
        <is>
          <t>Plataforma</t>
        </is>
      </c>
      <c r="C40" s="3" t="inlineStr">
        <is>
          <t>Inversión</t>
        </is>
      </c>
      <c r="D40" s="3" t="inlineStr">
        <is>
          <t>Pólizas</t>
        </is>
      </c>
      <c r="E40" s="3" t="inlineStr">
        <is>
          <t>CAC</t>
        </is>
      </c>
      <c r="F40" s="3" t="inlineStr">
        <is>
          <t>Prima emitida (COP)</t>
        </is>
      </c>
      <c r="G40" s="3" t="inlineStr">
        <is>
          <t>Prima (US$)*</t>
        </is>
      </c>
      <c r="H40" s="3" t="inlineStr">
        <is>
          <t>ROAS</t>
        </is>
      </c>
    </row>
    <row r="41">
      <c r="A41" s="15" t="inlineStr">
        <is>
          <t>Autos</t>
        </is>
      </c>
      <c r="B41" s="20" t="inlineStr">
        <is>
          <t>Google</t>
        </is>
      </c>
      <c r="C41" s="11" t="n">
        <v>109423</v>
      </c>
      <c r="D41" s="12" t="n">
        <v>34</v>
      </c>
      <c r="E41" s="11" t="n">
        <v>3218</v>
      </c>
      <c r="F41" s="8" t="n">
        <v>64694930</v>
      </c>
      <c r="G41" s="8" t="n">
        <v>16174</v>
      </c>
      <c r="H41" s="42" t="n">
        <v>0.1</v>
      </c>
    </row>
    <row r="42">
      <c r="A42" s="15" t="inlineStr">
        <is>
          <t>Autos</t>
        </is>
      </c>
      <c r="B42" s="20" t="inlineStr">
        <is>
          <t>Meta</t>
        </is>
      </c>
      <c r="C42" s="11" t="n">
        <v>53121</v>
      </c>
      <c r="D42" s="12" t="n">
        <v>10</v>
      </c>
      <c r="E42" s="11" t="n">
        <v>5312</v>
      </c>
      <c r="F42" s="8" t="n">
        <v>23420225</v>
      </c>
      <c r="G42" s="8" t="n">
        <v>5855</v>
      </c>
      <c r="H42" s="42" t="n">
        <v>0.1</v>
      </c>
    </row>
    <row r="43">
      <c r="A43" s="15" t="inlineStr">
        <is>
          <t>Motos</t>
        </is>
      </c>
      <c r="B43" s="20" t="inlineStr">
        <is>
          <t>Google</t>
        </is>
      </c>
      <c r="C43" s="11" t="n">
        <v>61022</v>
      </c>
      <c r="D43" s="12" t="n">
        <v>1000</v>
      </c>
      <c r="E43" s="11" t="n">
        <v>61</v>
      </c>
      <c r="F43" s="8" t="n">
        <v>574841249</v>
      </c>
      <c r="G43" s="8" t="n">
        <v>143710</v>
      </c>
      <c r="H43" s="43" t="n">
        <v>2.4</v>
      </c>
    </row>
    <row r="44">
      <c r="A44" s="15" t="inlineStr">
        <is>
          <t>Motos</t>
        </is>
      </c>
      <c r="B44" s="20" t="inlineStr">
        <is>
          <t>Meta</t>
        </is>
      </c>
      <c r="C44" s="11" t="n">
        <v>37986</v>
      </c>
      <c r="D44" s="12" t="n">
        <v>616</v>
      </c>
      <c r="E44" s="11" t="n">
        <v>62</v>
      </c>
      <c r="F44" s="8" t="n">
        <v>332724796</v>
      </c>
      <c r="G44" s="8" t="n">
        <v>83181</v>
      </c>
      <c r="H44" s="43" t="n">
        <v>2.2</v>
      </c>
    </row>
    <row r="45">
      <c r="A45" s="15" t="inlineStr">
        <is>
          <t>Viajes</t>
        </is>
      </c>
      <c r="B45" s="20" t="inlineStr">
        <is>
          <t>Google</t>
        </is>
      </c>
      <c r="C45" s="11" t="n">
        <v>27204</v>
      </c>
      <c r="D45" s="12" t="n">
        <v>461</v>
      </c>
      <c r="E45" s="11" t="n">
        <v>59</v>
      </c>
      <c r="F45" s="8" t="n">
        <v>180785437</v>
      </c>
      <c r="G45" s="8" t="n">
        <v>45196</v>
      </c>
      <c r="H45" s="43" t="n">
        <v>1.7</v>
      </c>
    </row>
    <row r="46">
      <c r="A46" s="15" t="inlineStr">
        <is>
          <t>Viajes</t>
        </is>
      </c>
      <c r="B46" s="20" t="inlineStr">
        <is>
          <t>Meta</t>
        </is>
      </c>
      <c r="C46" s="11" t="n">
        <v>13296</v>
      </c>
      <c r="D46" s="12" t="n">
        <v>52</v>
      </c>
      <c r="E46" s="11" t="n">
        <v>256</v>
      </c>
      <c r="F46" s="8" t="n">
        <v>18300708</v>
      </c>
      <c r="G46" s="8" t="n">
        <v>4575</v>
      </c>
      <c r="H46" s="42" t="n">
        <v>0.3</v>
      </c>
    </row>
    <row r="47">
      <c r="A47" s="15" t="inlineStr">
        <is>
          <t>Arriendo</t>
        </is>
      </c>
      <c r="B47" s="20" t="inlineStr">
        <is>
          <t>Google</t>
        </is>
      </c>
      <c r="C47" s="11" t="n">
        <v>58269</v>
      </c>
      <c r="D47" s="12" t="n">
        <v>2477</v>
      </c>
      <c r="E47" s="11" t="n">
        <v>24</v>
      </c>
      <c r="F47" s="8" t="n">
        <v>1740511397</v>
      </c>
      <c r="G47" s="8" t="n">
        <v>435128</v>
      </c>
      <c r="H47" s="44" t="n">
        <v>7.5</v>
      </c>
    </row>
    <row r="48">
      <c r="A48" s="15" t="inlineStr">
        <is>
          <t>Arriendo</t>
        </is>
      </c>
      <c r="B48" s="20" t="inlineStr">
        <is>
          <t>Meta</t>
        </is>
      </c>
      <c r="C48" s="11" t="n">
        <v>58939</v>
      </c>
      <c r="D48" s="12" t="n">
        <v>64</v>
      </c>
      <c r="E48" s="11" t="n">
        <v>921</v>
      </c>
      <c r="F48" s="8" t="n">
        <v>41942509</v>
      </c>
      <c r="G48" s="8" t="n">
        <v>10486</v>
      </c>
      <c r="H48" s="42" t="n">
        <v>0.2</v>
      </c>
    </row>
    <row r="50">
      <c r="A50" s="45" t="inlineStr">
        <is>
          <t>* ROAS calculado con TC referencial 4.000 COP/USD</t>
        </is>
      </c>
    </row>
  </sheetData>
  <mergeCells count="4">
    <mergeCell ref="A2:K2"/>
    <mergeCell ref="A50:H50"/>
    <mergeCell ref="A1:K1"/>
    <mergeCell ref="A39:H39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K77"/>
  <sheetViews>
    <sheetView workbookViewId="0">
      <selection activeCell="A1" sqref="A1"/>
    </sheetView>
  </sheetViews>
  <sheetFormatPr baseColWidth="8" defaultRowHeight="15"/>
  <cols>
    <col width="12" customWidth="1" min="1" max="1"/>
    <col width="9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50" customWidth="1" min="11" max="11"/>
  </cols>
  <sheetData>
    <row r="1">
      <c r="A1" s="14" t="inlineStr">
        <is>
          <t>Diagnóstico forense del aumento de CPL · Ene vs Abr 2026</t>
        </is>
      </c>
    </row>
    <row r="2" ht="36" customHeight="1">
      <c r="A2" s="22" t="inlineStr">
        <is>
          <t>Por producto y plataforma: descomposición del cambio de CPL en sus drivers (CPC, CPM, CTR, Tasa Conv, Impresiones), con hipótesis de causa raíz y acción sugerida. Objetivo: dar al CEO un diagnóstico estructurado, no solo 'el CPL subió'.</t>
        </is>
      </c>
    </row>
    <row r="4">
      <c r="A4" s="4" t="inlineStr">
        <is>
          <t>Δ% Ene→Abr 2026 por driver (factores que mueven el CPL)</t>
        </is>
      </c>
      <c r="B4" s="5" t="n"/>
      <c r="C4" s="5" t="n"/>
      <c r="D4" s="5" t="n"/>
      <c r="E4" s="5" t="n"/>
      <c r="F4" s="5" t="n"/>
      <c r="G4" s="5" t="n"/>
      <c r="H4" s="5" t="n"/>
      <c r="I4" s="5" t="n"/>
      <c r="J4" s="5" t="n"/>
      <c r="K4" s="6" t="n"/>
    </row>
    <row r="5" ht="36" customHeight="1">
      <c r="A5" s="3" t="inlineStr">
        <is>
          <t>Producto</t>
        </is>
      </c>
      <c r="B5" s="3" t="inlineStr">
        <is>
          <t>Plat.</t>
        </is>
      </c>
      <c r="C5" s="3" t="inlineStr">
        <is>
          <t>Severidad CPL</t>
        </is>
      </c>
      <c r="D5" s="3" t="inlineStr">
        <is>
          <t>ΔCPL</t>
        </is>
      </c>
      <c r="E5" s="3" t="inlineStr">
        <is>
          <t>ΔSpend</t>
        </is>
      </c>
      <c r="F5" s="3" t="inlineStr">
        <is>
          <t>ΔConv</t>
        </is>
      </c>
      <c r="G5" s="3" t="inlineStr">
        <is>
          <t>ΔImpr</t>
        </is>
      </c>
      <c r="H5" s="3" t="inlineStr">
        <is>
          <t>ΔCPC</t>
        </is>
      </c>
      <c r="I5" s="3" t="inlineStr">
        <is>
          <t>ΔCTR</t>
        </is>
      </c>
      <c r="J5" s="3" t="inlineStr">
        <is>
          <t>ΔTasaConv</t>
        </is>
      </c>
      <c r="K5" s="3" t="inlineStr">
        <is>
          <t>Drivers principales</t>
        </is>
      </c>
    </row>
    <row r="6" ht="42" customHeight="1">
      <c r="A6" s="26" t="inlineStr">
        <is>
          <t>Autos</t>
        </is>
      </c>
      <c r="B6" s="27" t="inlineStr">
        <is>
          <t>Google</t>
        </is>
      </c>
      <c r="C6" s="46" t="inlineStr">
        <is>
          <t>MEDIO</t>
        </is>
      </c>
      <c r="D6" s="47" t="n">
        <v>0.3647974839920292</v>
      </c>
      <c r="E6" s="48" t="n">
        <v>0.07248489644824913</v>
      </c>
      <c r="F6" s="49" t="n">
        <v>-0.2141801922793457</v>
      </c>
      <c r="G6" s="47" t="n">
        <v>0.06828040787966423</v>
      </c>
      <c r="H6" s="47" t="n">
        <v>0.4297349352624028</v>
      </c>
      <c r="I6" s="49" t="n">
        <v>-0.2978168687496333</v>
      </c>
      <c r="J6" s="47" t="n">
        <v>0.04758028354538855</v>
      </c>
      <c r="K6" s="50" t="inlineStr">
        <is>
          <t>Subida fuerte de CPC (+43%) — competencia o auction más cara · CTR cae (-30%) — fatiga creativa o RSAs poco optimizadas</t>
        </is>
      </c>
    </row>
    <row r="7" ht="42" customHeight="1">
      <c r="A7" s="26" t="inlineStr">
        <is>
          <t>Autos</t>
        </is>
      </c>
      <c r="B7" s="27" t="inlineStr">
        <is>
          <t>Meta</t>
        </is>
      </c>
      <c r="C7" s="51" t="inlineStr">
        <is>
          <t>ALTO</t>
        </is>
      </c>
      <c r="D7" s="47" t="n">
        <v>0.408057324589672</v>
      </c>
      <c r="E7" s="49" t="n">
        <v>-0.2592407438853723</v>
      </c>
      <c r="F7" s="49" t="n">
        <v>-0.4739139925780397</v>
      </c>
      <c r="G7" s="49" t="n">
        <v>-0.3969535598834025</v>
      </c>
      <c r="H7" s="52" t="inlineStr">
        <is>
          <t>n/a</t>
        </is>
      </c>
      <c r="I7" s="52" t="inlineStr">
        <is>
          <t>n/a</t>
        </is>
      </c>
      <c r="J7" s="48" t="n">
        <v>-0.1276194129920692</v>
      </c>
      <c r="K7" s="50" t="inlineStr">
        <is>
          <t>CPM sube +23% — saturación audiencia o competencia interna · Recorte de inversión Meta (-26%) — pero CPA igual subió</t>
        </is>
      </c>
    </row>
    <row r="8" ht="42" customHeight="1">
      <c r="A8" s="26" t="inlineStr">
        <is>
          <t>Motos</t>
        </is>
      </c>
      <c r="B8" s="27" t="inlineStr">
        <is>
          <t>Google</t>
        </is>
      </c>
      <c r="C8" s="53" t="inlineStr">
        <is>
          <t>CRÍTICO</t>
        </is>
      </c>
      <c r="D8" s="47" t="n">
        <v>1.05044325321263</v>
      </c>
      <c r="E8" s="47" t="n">
        <v>0.9099670213264993</v>
      </c>
      <c r="F8" s="48" t="n">
        <v>-0.06851017781937283</v>
      </c>
      <c r="G8" s="47" t="n">
        <v>0.1345611378347883</v>
      </c>
      <c r="H8" s="47" t="n">
        <v>0.5722072880072709</v>
      </c>
      <c r="I8" s="47" t="n">
        <v>0.07075018920318307</v>
      </c>
      <c r="J8" s="49" t="n">
        <v>-0.233235406274258</v>
      </c>
      <c r="K8" s="50" t="inlineStr">
        <is>
          <t>DOBLE FACTOR: CPC sube (+57%) Y tasa conv cae (-23%)</t>
        </is>
      </c>
    </row>
    <row r="9" ht="42" customHeight="1">
      <c r="A9" s="26" t="inlineStr">
        <is>
          <t>Motos</t>
        </is>
      </c>
      <c r="B9" s="27" t="inlineStr">
        <is>
          <t>Meta</t>
        </is>
      </c>
      <c r="C9" s="46" t="inlineStr">
        <is>
          <t>MEDIO</t>
        </is>
      </c>
      <c r="D9" s="47" t="n">
        <v>0.2729468633319367</v>
      </c>
      <c r="E9" s="49" t="n">
        <v>-0.2006762233448715</v>
      </c>
      <c r="F9" s="49" t="n">
        <v>-0.3720682302771855</v>
      </c>
      <c r="G9" s="49" t="n">
        <v>-0.2797347563081087</v>
      </c>
      <c r="H9" s="52" t="inlineStr">
        <is>
          <t>n/a</t>
        </is>
      </c>
      <c r="I9" s="52" t="inlineStr">
        <is>
          <t>n/a</t>
        </is>
      </c>
      <c r="J9" s="48" t="n">
        <v>-0.1281937102723429</v>
      </c>
      <c r="K9" s="50" t="inlineStr">
        <is>
          <t>Recorte de inversión Meta (-20%) — pero CPA igual subió</t>
        </is>
      </c>
    </row>
    <row r="10" ht="42" customHeight="1">
      <c r="A10" s="26" t="inlineStr">
        <is>
          <t>Viajes</t>
        </is>
      </c>
      <c r="B10" s="27" t="inlineStr">
        <is>
          <t>Google</t>
        </is>
      </c>
      <c r="C10" s="54" t="inlineStr">
        <is>
          <t>OK</t>
        </is>
      </c>
      <c r="D10" s="48" t="n">
        <v>0.09644426743311976</v>
      </c>
      <c r="E10" s="47" t="n">
        <v>0.3070223970137317</v>
      </c>
      <c r="F10" s="47" t="n">
        <v>0.1920554795489928</v>
      </c>
      <c r="G10" s="47" t="n">
        <v>0.5228733864273963</v>
      </c>
      <c r="H10" s="47" t="n">
        <v>0.5542699595304408</v>
      </c>
      <c r="I10" s="49" t="n">
        <v>-0.4478046064017331</v>
      </c>
      <c r="J10" s="47" t="n">
        <v>0.4175549142767961</v>
      </c>
      <c r="K10" s="50" t="inlineStr">
        <is>
          <t>Subida fuerte de CPC (+55%) — competencia o auction más cara · CTR cae (-45%) — fatiga creativa o RSAs poco optimizadas</t>
        </is>
      </c>
    </row>
    <row r="11" ht="42" customHeight="1">
      <c r="A11" s="26" t="inlineStr">
        <is>
          <t>Viajes</t>
        </is>
      </c>
      <c r="B11" s="27" t="inlineStr">
        <is>
          <t>Meta</t>
        </is>
      </c>
      <c r="C11" s="54" t="inlineStr">
        <is>
          <t>OK</t>
        </is>
      </c>
      <c r="D11" s="48" t="n">
        <v>-0.08275934014538353</v>
      </c>
      <c r="E11" s="48" t="n">
        <v>-0.05468054443554837</v>
      </c>
      <c r="F11" s="47" t="n">
        <v>0.03061224489795918</v>
      </c>
      <c r="G11" s="49" t="n">
        <v>-0.3842157716213411</v>
      </c>
      <c r="H11" s="52" t="inlineStr">
        <is>
          <t>n/a</t>
        </is>
      </c>
      <c r="I11" s="52" t="inlineStr">
        <is>
          <t>n/a</t>
        </is>
      </c>
      <c r="J11" s="47" t="n">
        <v>0.6736580727498168</v>
      </c>
      <c r="K11" s="50" t="inlineStr">
        <is>
          <t>CPM sube +54% — saturación audiencia o competencia interna</t>
        </is>
      </c>
    </row>
    <row r="12" ht="42" customHeight="1">
      <c r="A12" s="26" t="inlineStr">
        <is>
          <t>Arriendo</t>
        </is>
      </c>
      <c r="B12" s="27" t="inlineStr">
        <is>
          <t>Google</t>
        </is>
      </c>
      <c r="C12" s="53" t="inlineStr">
        <is>
          <t>CRÍTICO</t>
        </is>
      </c>
      <c r="D12" s="47" t="n">
        <v>1.260317042970849</v>
      </c>
      <c r="E12" s="47" t="n">
        <v>0.3517873224516385</v>
      </c>
      <c r="F12" s="49" t="n">
        <v>-0.4019479140523948</v>
      </c>
      <c r="G12" s="49" t="n">
        <v>-0.2417785736388459</v>
      </c>
      <c r="H12" s="48" t="n">
        <v>-0.02260793811067988</v>
      </c>
      <c r="I12" s="47" t="n">
        <v>0.8240784343126499</v>
      </c>
      <c r="J12" s="49" t="n">
        <v>-0.5675862972724018</v>
      </c>
      <c r="K12" s="50" t="inlineStr">
        <is>
          <t>Caída de tasa de conversión (-57%) — calidad de tráfico o landing · Impresiones cayeron -24% — pérdida de cobertura del mercado</t>
        </is>
      </c>
    </row>
    <row r="13" ht="42" customHeight="1">
      <c r="A13" s="26" t="inlineStr">
        <is>
          <t>Arriendo</t>
        </is>
      </c>
      <c r="B13" s="27" t="inlineStr">
        <is>
          <t>Meta</t>
        </is>
      </c>
      <c r="C13" s="54" t="inlineStr">
        <is>
          <t>OK</t>
        </is>
      </c>
      <c r="D13" s="49" t="n">
        <v>-0.3186257140117098</v>
      </c>
      <c r="E13" s="49" t="n">
        <v>-0.5987327102909747</v>
      </c>
      <c r="F13" s="49" t="n">
        <v>-0.4110912343470483</v>
      </c>
      <c r="G13" s="49" t="n">
        <v>-0.7157123490927633</v>
      </c>
      <c r="H13" s="52" t="inlineStr">
        <is>
          <t>n/a</t>
        </is>
      </c>
      <c r="I13" s="52" t="inlineStr">
        <is>
          <t>n/a</t>
        </is>
      </c>
      <c r="J13" s="47" t="n">
        <v>1.071524259930352</v>
      </c>
      <c r="K13" s="50" t="inlineStr">
        <is>
          <t>CPM sube +41% — saturación audiencia o competencia interna · Recorte de inversión Meta (-60%) — pero CPA igual subió</t>
        </is>
      </c>
    </row>
    <row r="16">
      <c r="A16" s="4" t="inlineStr">
        <is>
          <t>Casos para CEO · narrativa diagnóstica por producto-plataforma</t>
        </is>
      </c>
      <c r="B16" s="5" t="n"/>
      <c r="C16" s="5" t="n"/>
      <c r="D16" s="5" t="n"/>
      <c r="E16" s="5" t="n"/>
      <c r="F16" s="5" t="n"/>
      <c r="G16" s="5" t="n"/>
      <c r="H16" s="5" t="n"/>
      <c r="I16" s="5" t="n"/>
      <c r="J16" s="5" t="n"/>
      <c r="K16" s="6" t="n"/>
    </row>
    <row r="18">
      <c r="A18" s="55" t="inlineStr">
        <is>
          <t>Arriendo · Google  —  CPL Ene US$ 14.11 → Abr US$ 31.88  (+126%)</t>
        </is>
      </c>
    </row>
    <row r="19">
      <c r="A19" s="56" t="inlineStr">
        <is>
          <t>Severidad: 🚨 CRÍTICO</t>
        </is>
      </c>
    </row>
    <row r="20">
      <c r="A20" s="57" t="inlineStr">
        <is>
          <t>Datos: Inversión 14,613 → 19,754 USD (+35%) · Conversiones 1,036 → 620 (-40%)</t>
        </is>
      </c>
    </row>
    <row r="21">
      <c r="A21" s="58" t="inlineStr">
        <is>
          <t>🔬 Causas raíz identificadas:</t>
        </is>
      </c>
    </row>
    <row r="22" ht="26" customHeight="1">
      <c r="A22" s="13" t="inlineStr">
        <is>
          <t xml:space="preserve">   • Caída de tasa de conversión (-57%) — calidad de tráfico o landing</t>
        </is>
      </c>
    </row>
    <row r="23" ht="26" customHeight="1">
      <c r="A23" s="13" t="inlineStr">
        <is>
          <t xml:space="preserve">   • Impresiones cayeron -24% — pérdida de cobertura del mercado</t>
        </is>
      </c>
    </row>
    <row r="24">
      <c r="A24" s="58" t="inlineStr">
        <is>
          <t>🎯 Plan de acción propuesto:</t>
        </is>
      </c>
    </row>
    <row r="25" ht="26" customHeight="1">
      <c r="A25" s="22" t="inlineStr">
        <is>
          <t xml:space="preserve">   → Auditar landing pages, revisar Core Web Vitals, validar formularios</t>
        </is>
      </c>
    </row>
    <row r="26" ht="26" customHeight="1">
      <c r="A26" s="22" t="inlineStr">
        <is>
          <t xml:space="preserve">   → Revisar Lost IS Budget y Lost IS Rank en panel Cuotas</t>
        </is>
      </c>
    </row>
    <row r="28">
      <c r="A28" s="55" t="inlineStr">
        <is>
          <t>Motos · Google  —  CPL Ene US$ 6.70 → Abr US$ 13.74  (+105%)</t>
        </is>
      </c>
    </row>
    <row r="29">
      <c r="A29" s="56" t="inlineStr">
        <is>
          <t>Severidad: 🚨 CRÍTICO</t>
        </is>
      </c>
    </row>
    <row r="30">
      <c r="A30" s="57" t="inlineStr">
        <is>
          <t>Datos: Inversión 9,167 → 17,508 USD (+91%) · Conversiones 1,368 → 1,274 (-7%)</t>
        </is>
      </c>
    </row>
    <row r="31">
      <c r="A31" s="58" t="inlineStr">
        <is>
          <t>🔬 Causas raíz identificadas:</t>
        </is>
      </c>
    </row>
    <row r="32" ht="26" customHeight="1">
      <c r="A32" s="13" t="inlineStr">
        <is>
          <t xml:space="preserve">   • DOBLE FACTOR: CPC sube (+57%) Y tasa conv cae (-23%)</t>
        </is>
      </c>
    </row>
    <row r="33">
      <c r="A33" s="58" t="inlineStr">
        <is>
          <t>🎯 Plan de acción propuesto:</t>
        </is>
      </c>
    </row>
    <row r="34" ht="26" customHeight="1">
      <c r="A34" s="22" t="inlineStr">
        <is>
          <t xml:space="preserve">   → Auditar full funnel: bidding strategy + landing experience</t>
        </is>
      </c>
    </row>
    <row r="36">
      <c r="A36" s="55" t="inlineStr">
        <is>
          <t>Autos · Meta  —  CPL Ene US$ 2.98 → Abr US$ 4.20  (+41%)</t>
        </is>
      </c>
    </row>
    <row r="37">
      <c r="A37" s="59" t="inlineStr">
        <is>
          <t>Severidad: ⚠️ ALTO</t>
        </is>
      </c>
    </row>
    <row r="38">
      <c r="A38" s="57" t="inlineStr">
        <is>
          <t>Datos: Inversión 13,662 → 10,120 USD (-26%) · Conversiones 4,581 → 2,410 (-47%)</t>
        </is>
      </c>
    </row>
    <row r="39">
      <c r="A39" s="58" t="inlineStr">
        <is>
          <t>🔬 Causas raíz identificadas:</t>
        </is>
      </c>
    </row>
    <row r="40" ht="26" customHeight="1">
      <c r="A40" s="13" t="inlineStr">
        <is>
          <t xml:space="preserve">   • CPM sube +23% — saturación audiencia o competencia interna</t>
        </is>
      </c>
    </row>
    <row r="41" ht="26" customHeight="1">
      <c r="A41" s="13" t="inlineStr">
        <is>
          <t xml:space="preserve">   • Recorte de inversión Meta (-26%) — pero CPA igual subió</t>
        </is>
      </c>
    </row>
    <row r="42">
      <c r="A42" s="58" t="inlineStr">
        <is>
          <t>🎯 Plan de acción propuesto:</t>
        </is>
      </c>
    </row>
    <row r="43" ht="26" customHeight="1">
      <c r="A43" s="22" t="inlineStr">
        <is>
          <t xml:space="preserve">   → Ampliar audiencias o reducir frecuencia / lookalikes nuevos</t>
        </is>
      </c>
    </row>
    <row r="44" ht="26" customHeight="1">
      <c r="A44" s="22" t="inlineStr">
        <is>
          <t xml:space="preserve">   → Auditar audiencias activas: pueden estar saturadas pese a menor budget</t>
        </is>
      </c>
    </row>
    <row r="46">
      <c r="A46" s="55" t="inlineStr">
        <is>
          <t>Autos · Google  —  CPL Ene US$ 4.31 → Abr US$ 5.89  (+36%)</t>
        </is>
      </c>
    </row>
    <row r="47">
      <c r="A47" s="60" t="inlineStr">
        <is>
          <t>Severidad: 🟡 MEDIO</t>
        </is>
      </c>
    </row>
    <row r="48">
      <c r="A48" s="57" t="inlineStr">
        <is>
          <t>Datos: Inversión 26,333 → 28,242 USD (+7%) · Conversiones 6,106 → 4,798 (-21%)</t>
        </is>
      </c>
    </row>
    <row r="49">
      <c r="A49" s="58" t="inlineStr">
        <is>
          <t>🔬 Causas raíz identificadas:</t>
        </is>
      </c>
    </row>
    <row r="50" ht="26" customHeight="1">
      <c r="A50" s="13" t="inlineStr">
        <is>
          <t xml:space="preserve">   • Subida fuerte de CPC (+43%) — competencia o auction más cara</t>
        </is>
      </c>
    </row>
    <row r="51" ht="26" customHeight="1">
      <c r="A51" s="13" t="inlineStr">
        <is>
          <t xml:space="preserve">   • CTR cae (-30%) — fatiga creativa o RSAs poco optimizadas</t>
        </is>
      </c>
    </row>
    <row r="52">
      <c r="A52" s="58" t="inlineStr">
        <is>
          <t>🎯 Plan de acción propuesto:</t>
        </is>
      </c>
    </row>
    <row r="53" ht="26" customHeight="1">
      <c r="A53" s="22" t="inlineStr">
        <is>
          <t xml:space="preserve">   → Revisar Auction Insights, ajustar pujas, validar Quality Score</t>
        </is>
      </c>
    </row>
    <row r="54" ht="26" customHeight="1">
      <c r="A54" s="22" t="inlineStr">
        <is>
          <t xml:space="preserve">   → Refrescar headlines/descriptions, A/B test de copy nuevo</t>
        </is>
      </c>
    </row>
    <row r="56">
      <c r="A56" s="55" t="inlineStr">
        <is>
          <t>Motos · Meta  —  CPL Ene US$ 8.37 → Abr US$ 10.65  (+27%)</t>
        </is>
      </c>
    </row>
    <row r="57">
      <c r="A57" s="60" t="inlineStr">
        <is>
          <t>Severidad: 🟡 MEDIO</t>
        </is>
      </c>
    </row>
    <row r="58">
      <c r="A58" s="57" t="inlineStr">
        <is>
          <t>Datos: Inversión 7,847 → 6,272 USD (-20%) · Conversiones 938 → 589 (-37%)</t>
        </is>
      </c>
    </row>
    <row r="59">
      <c r="A59" s="58" t="inlineStr">
        <is>
          <t>🔬 Causas raíz identificadas:</t>
        </is>
      </c>
    </row>
    <row r="60" ht="26" customHeight="1">
      <c r="A60" s="13" t="inlineStr">
        <is>
          <t xml:space="preserve">   • Recorte de inversión Meta (-20%) — pero CPA igual subió</t>
        </is>
      </c>
    </row>
    <row r="61">
      <c r="A61" s="58" t="inlineStr">
        <is>
          <t>🎯 Plan de acción propuesto:</t>
        </is>
      </c>
    </row>
    <row r="62" ht="26" customHeight="1">
      <c r="A62" s="22" t="inlineStr">
        <is>
          <t xml:space="preserve">   → Auditar audiencias activas: pueden estar saturadas pese a menor budget</t>
        </is>
      </c>
    </row>
    <row r="65">
      <c r="A65" s="4" t="inlineStr">
        <is>
          <t>📐 Cómo leer este diagnóstico (apéndice metodológico)</t>
        </is>
      </c>
      <c r="B65" s="5" t="n"/>
      <c r="C65" s="5" t="n"/>
      <c r="D65" s="5" t="n"/>
      <c r="E65" s="5" t="n"/>
      <c r="F65" s="5" t="n"/>
      <c r="G65" s="5" t="n"/>
      <c r="H65" s="5" t="n"/>
      <c r="I65" s="5" t="n"/>
      <c r="J65" s="5" t="n"/>
      <c r="K65" s="6" t="n"/>
    </row>
    <row r="66">
      <c r="A66" s="57" t="inlineStr">
        <is>
          <t>El CPL (costo por conversión que reporta la plataforma) es matemáticamente:</t>
        </is>
      </c>
    </row>
    <row r="67">
      <c r="A67" s="57" t="inlineStr">
        <is>
          <t xml:space="preserve">   CPL = Spend ÷ Conversiones = CPC × (1 ÷ Tasa de Conversión)</t>
        </is>
      </c>
    </row>
    <row r="68">
      <c r="A68" s="57" t="inlineStr">
        <is>
          <t>Por lo tanto, un aumento del CPL puede venir de 2 lados:</t>
        </is>
      </c>
    </row>
    <row r="69">
      <c r="A69" s="57" t="inlineStr">
        <is>
          <t xml:space="preserve">   1) CPC sube (subasta más cara, pujas más altas, peor Quality Score)</t>
        </is>
      </c>
    </row>
    <row r="70">
      <c r="A70" s="57" t="inlineStr">
        <is>
          <t xml:space="preserve">   2) Tasa de Conversión cae (tráfico de menor calidad, landing rota, formulario fallando)</t>
        </is>
      </c>
    </row>
    <row r="71">
      <c r="A71" s="57" t="inlineStr">
        <is>
          <t>El driver dominante indica la palanca a accionar:</t>
        </is>
      </c>
    </row>
    <row r="72">
      <c r="A72" s="57" t="inlineStr">
        <is>
          <t xml:space="preserve">   - Si sube CPC y la tasa conv se mantiene → problema de pujas/competencia, no de funnel</t>
        </is>
      </c>
    </row>
    <row r="73">
      <c r="A73" s="57" t="inlineStr">
        <is>
          <t xml:space="preserve">   - Si cae tasa conv y CPC se mantiene → problema de funnel, no de bidding</t>
        </is>
      </c>
    </row>
    <row r="74">
      <c r="A74" s="57" t="inlineStr">
        <is>
          <t xml:space="preserve">   - Si suben ambos → problema doble (auditar ambos lados)</t>
        </is>
      </c>
    </row>
    <row r="75">
      <c r="A75" s="57" t="inlineStr">
        <is>
          <t>Para Meta, en lugar de CPC trabajamos con CPM (Meta cobra por impresión, no por click).</t>
        </is>
      </c>
    </row>
    <row r="76">
      <c r="A76" s="57" t="inlineStr"/>
    </row>
    <row r="77">
      <c r="A77" s="57" t="inlineStr">
        <is>
          <t>Severidad: CRÍTICO ≥ +80% CPL · ALTO 40-80% · MEDIO 20-40% · OK ≤ 20%</t>
        </is>
      </c>
    </row>
  </sheetData>
  <mergeCells count="58">
    <mergeCell ref="A58:K58"/>
    <mergeCell ref="A34:K34"/>
    <mergeCell ref="A48:K48"/>
    <mergeCell ref="A30:K30"/>
    <mergeCell ref="A39:K39"/>
    <mergeCell ref="A77:K77"/>
    <mergeCell ref="A59:K59"/>
    <mergeCell ref="A24:K24"/>
    <mergeCell ref="A73:K73"/>
    <mergeCell ref="A49:K49"/>
    <mergeCell ref="A51:K51"/>
    <mergeCell ref="A60:K60"/>
    <mergeCell ref="A36:K36"/>
    <mergeCell ref="A1:K1"/>
    <mergeCell ref="A70:K70"/>
    <mergeCell ref="A61:K61"/>
    <mergeCell ref="A69:K69"/>
    <mergeCell ref="A54:K54"/>
    <mergeCell ref="A25:K25"/>
    <mergeCell ref="A65:K65"/>
    <mergeCell ref="A41:K41"/>
    <mergeCell ref="A16:K16"/>
    <mergeCell ref="A46:K46"/>
    <mergeCell ref="A66:K66"/>
    <mergeCell ref="A37:K37"/>
    <mergeCell ref="A56:K56"/>
    <mergeCell ref="A75:K75"/>
    <mergeCell ref="A74:K74"/>
    <mergeCell ref="A18:K18"/>
    <mergeCell ref="A50:K50"/>
    <mergeCell ref="A26:K26"/>
    <mergeCell ref="A21:K21"/>
    <mergeCell ref="A57:K57"/>
    <mergeCell ref="A2:K2"/>
    <mergeCell ref="A33:K33"/>
    <mergeCell ref="A71:K71"/>
    <mergeCell ref="A47:K47"/>
    <mergeCell ref="A42:K42"/>
    <mergeCell ref="A32:K32"/>
    <mergeCell ref="A76:K76"/>
    <mergeCell ref="A23:K23"/>
    <mergeCell ref="A22:K22"/>
    <mergeCell ref="A53:K53"/>
    <mergeCell ref="A4:K4"/>
    <mergeCell ref="A62:K62"/>
    <mergeCell ref="A20:K20"/>
    <mergeCell ref="A72:K72"/>
    <mergeCell ref="A29:K29"/>
    <mergeCell ref="A43:K43"/>
    <mergeCell ref="A38:K38"/>
    <mergeCell ref="A19:K19"/>
    <mergeCell ref="A52:K52"/>
    <mergeCell ref="A28:K28"/>
    <mergeCell ref="A68:K68"/>
    <mergeCell ref="A44:K44"/>
    <mergeCell ref="A40:K40"/>
    <mergeCell ref="A67:K67"/>
    <mergeCell ref="A31:K3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2026-04-29T16:49:35Z</dcterms:created>
  <dcterms:modified xsi:type="dcterms:W3CDTF">2026-04-29T16:49:35Z</dcterms:modified>
</cp:coreProperties>
</file>